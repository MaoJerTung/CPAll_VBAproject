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honhan\Desktop\VBA PROJECT\"/>
    </mc:Choice>
  </mc:AlternateContent>
  <bookViews>
    <workbookView xWindow="0" yWindow="0" windowWidth="23040" windowHeight="9528"/>
  </bookViews>
  <sheets>
    <sheet name="DataPage" sheetId="2" r:id="rId1"/>
  </sheets>
  <definedNames>
    <definedName name="DataPageAI3">DataPage!$AO$2</definedName>
    <definedName name="Dcitem">#REF!</definedName>
    <definedName name="Maximum">DataPage!$AO$4</definedName>
    <definedName name="Order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2" i="2" l="1"/>
  <c r="J24" i="2" l="1"/>
  <c r="AI6" i="2" l="1"/>
  <c r="AI25" i="2" l="1"/>
  <c r="AI24" i="2"/>
  <c r="AI23" i="2"/>
  <c r="AI22" i="2"/>
  <c r="AI21" i="2"/>
  <c r="AI20" i="2"/>
  <c r="AI19" i="2"/>
  <c r="AI18" i="2"/>
  <c r="Q16" i="2"/>
  <c r="AK7" i="2" s="1"/>
  <c r="AR3" i="2"/>
  <c r="AL11" i="2" s="1"/>
  <c r="AO4" i="2" l="1"/>
  <c r="AK9" i="2"/>
  <c r="AK13" i="2"/>
  <c r="AK6" i="2"/>
  <c r="AK10" i="2"/>
  <c r="AK14" i="2"/>
  <c r="AQ2" i="2" s="1"/>
  <c r="AL6" i="2"/>
  <c r="AP2" i="2"/>
  <c r="AK11" i="2"/>
  <c r="AK8" i="2"/>
  <c r="AK12" i="2"/>
  <c r="AL8" i="2"/>
  <c r="AL12" i="2"/>
  <c r="AL9" i="2"/>
  <c r="AL13" i="2"/>
  <c r="AL10" i="2"/>
  <c r="AL14" i="2"/>
  <c r="AL7" i="2"/>
  <c r="AR2" i="2" l="1"/>
</calcChain>
</file>

<file path=xl/comments1.xml><?xml version="1.0" encoding="utf-8"?>
<comments xmlns="http://schemas.openxmlformats.org/spreadsheetml/2006/main">
  <authors>
    <author>Nattee Tongon</author>
  </authors>
  <commentList>
    <comment ref="M16" authorId="0" shapeId="0">
      <text>
        <r>
          <rPr>
            <sz val="9"/>
            <color indexed="81"/>
            <rFont val="Tahoma"/>
            <family val="2"/>
          </rPr>
          <t xml:space="preserve">ชื่อไฟล์หลักหน้า Code คลัง
ex. _______W101
</t>
        </r>
      </text>
    </comment>
    <comment ref="Q16" authorId="0" shapeId="0">
      <text>
        <r>
          <rPr>
            <b/>
            <sz val="9"/>
            <color indexed="81"/>
            <rFont val="Tahoma"/>
            <family val="2"/>
          </rPr>
          <t>ชื่อไฟล์หลักหลัง Code คลัง
ex. W101_______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นามสกุลไฟล์หลัก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ใส่ Code คลัง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K16" authorId="0" shapeId="0">
      <text>
        <r>
          <rPr>
            <sz val="9"/>
            <color indexed="81"/>
            <rFont val="Tahoma"/>
            <family val="2"/>
          </rPr>
          <t xml:space="preserve">ชื่อไฟล์สั่ง.นามสกุล
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>ที่อยู่ไฟล์สั่ง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>
      <text>
        <r>
          <rPr>
            <b/>
            <sz val="9"/>
            <color indexed="81"/>
            <rFont val="Tahoma"/>
            <family val="2"/>
          </rPr>
          <t>ที่อยู่ Dcitem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8" authorId="0" shapeId="0">
      <text>
        <r>
          <rPr>
            <b/>
            <sz val="9"/>
            <color indexed="81"/>
            <rFont val="Tahoma"/>
            <family val="2"/>
          </rPr>
          <t>ชื่อไฟล์ Branch.นามสกุล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<sst xmlns="http://schemas.openxmlformats.org/spreadsheetml/2006/main" count="33" uniqueCount="33">
  <si>
    <t>Data Analysis Process</t>
  </si>
  <si>
    <t>CODE DC</t>
  </si>
  <si>
    <t>Order File</t>
  </si>
  <si>
    <t>Dcitem</t>
  </si>
  <si>
    <t>Order file</t>
  </si>
  <si>
    <t>DcItem</t>
  </si>
  <si>
    <t>W121</t>
  </si>
  <si>
    <t>W131</t>
  </si>
  <si>
    <t>W141</t>
  </si>
  <si>
    <t>W151</t>
  </si>
  <si>
    <t>Date</t>
  </si>
  <si>
    <t>W301</t>
  </si>
  <si>
    <t>W401</t>
  </si>
  <si>
    <t>W501</t>
  </si>
  <si>
    <t>W801</t>
  </si>
  <si>
    <t>W901</t>
  </si>
  <si>
    <t>Order File Name</t>
  </si>
  <si>
    <t>.xlsb</t>
  </si>
  <si>
    <t>Branch File Name</t>
  </si>
  <si>
    <t>Order Branch Jan 2022.xlsb</t>
  </si>
  <si>
    <t>D:\test\</t>
  </si>
  <si>
    <t>Branch</t>
  </si>
  <si>
    <t>DC5</t>
  </si>
  <si>
    <t>RDCCB</t>
  </si>
  <si>
    <t>RDCBR</t>
  </si>
  <si>
    <t>RDCHY</t>
  </si>
  <si>
    <t>RDCNS</t>
  </si>
  <si>
    <t>RDCLP</t>
  </si>
  <si>
    <t>RDCKK</t>
  </si>
  <si>
    <t>DCMC</t>
  </si>
  <si>
    <t>Order File Location</t>
  </si>
  <si>
    <t>Dcitem File Location</t>
  </si>
  <si>
    <t>RDCST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</si>
</sst>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Tahoma"/>
      <family val="2"/>
      <charset val="222"/>
      <scheme val="minor"/>
    </font>
    <font>
      <sz val="9"/>
      <color theme="1"/>
      <name val="Tahoma"/>
      <family val="2"/>
      <charset val="222"/>
      <scheme val="minor"/>
    </font>
    <font>
      <sz val="10"/>
      <name val="Arial"/>
      <family val="2"/>
    </font>
    <font>
      <sz val="10"/>
      <color indexed="22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b/>
      <sz val="11"/>
      <name val="Arial"/>
      <family val="2"/>
    </font>
    <font>
      <sz val="8"/>
      <color theme="1"/>
      <name val="Tahoma"/>
      <family val="2"/>
      <charset val="222"/>
      <scheme val="minor"/>
    </font>
    <font>
      <b/>
      <sz val="10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 val="double"/>
      <sz val="20"/>
      <color theme="1"/>
      <name val="Times New Roman"/>
      <family val="1"/>
    </font>
    <font>
      <b/>
      <sz val="10"/>
      <color theme="1"/>
      <name val="Arial"/>
      <family val="2"/>
    </font>
    <font>
      <b/>
      <sz val="9"/>
      <color theme="1"/>
      <name val="Tahoma"/>
      <family val="2"/>
      <scheme val="minor"/>
    </font>
    <font>
      <b/>
      <sz val="16"/>
      <color theme="1"/>
      <name val="Comic Sans MS"/>
      <family val="4"/>
    </font>
    <font>
      <b/>
      <sz val="9"/>
      <color theme="1"/>
      <name val="Comic Sans MS"/>
      <family val="4"/>
    </font>
    <font>
      <b/>
      <sz val="11"/>
      <color theme="1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>
      <alignment vertical="center"/>
    </xf>
    <xf numFmtId="0" fontId="1" fillId="0" borderId="6" xfId="0" applyFont="1" applyBorder="1" applyAlignment="1">
      <alignment vertical="center"/>
    </xf>
    <xf numFmtId="0" fontId="2" fillId="2" borderId="4" xfId="0" applyFont="1" applyFill="1" applyBorder="1"/>
    <xf numFmtId="0" fontId="2" fillId="2" borderId="0" xfId="0" applyFont="1" applyFill="1" applyBorder="1"/>
    <xf numFmtId="0" fontId="0" fillId="2" borderId="0" xfId="0" applyFill="1"/>
    <xf numFmtId="0" fontId="0" fillId="2" borderId="0" xfId="0" applyFill="1" applyBorder="1"/>
    <xf numFmtId="0" fontId="3" fillId="2" borderId="0" xfId="0" applyFont="1" applyFill="1" applyBorder="1" applyAlignment="1">
      <alignment shrinkToFit="1"/>
    </xf>
    <xf numFmtId="0" fontId="0" fillId="2" borderId="5" xfId="0" applyFill="1" applyBorder="1"/>
    <xf numFmtId="0" fontId="1" fillId="0" borderId="7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4" fillId="2" borderId="0" xfId="0" applyFont="1" applyFill="1" applyBorder="1"/>
    <xf numFmtId="0" fontId="6" fillId="2" borderId="18" xfId="0" applyFont="1" applyFill="1" applyBorder="1" applyAlignment="1">
      <alignment vertical="center"/>
    </xf>
    <xf numFmtId="0" fontId="6" fillId="2" borderId="19" xfId="0" applyFont="1" applyFill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26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2" borderId="28" xfId="0" applyFill="1" applyBorder="1"/>
    <xf numFmtId="0" fontId="0" fillId="2" borderId="29" xfId="0" applyFill="1" applyBorder="1"/>
    <xf numFmtId="0" fontId="8" fillId="2" borderId="29" xfId="0" applyFont="1" applyFill="1" applyBorder="1" applyAlignment="1">
      <alignment vertical="center"/>
    </xf>
    <xf numFmtId="0" fontId="8" fillId="2" borderId="30" xfId="0" applyFont="1" applyFill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4" borderId="9" xfId="0" applyFont="1" applyFill="1" applyBorder="1" applyAlignment="1">
      <alignment vertical="center"/>
    </xf>
    <xf numFmtId="0" fontId="1" fillId="4" borderId="10" xfId="0" applyFont="1" applyFill="1" applyBorder="1" applyAlignment="1">
      <alignment vertical="center"/>
    </xf>
    <xf numFmtId="0" fontId="12" fillId="3" borderId="24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25" xfId="0" applyFont="1" applyFill="1" applyBorder="1" applyAlignment="1">
      <alignment horizontal="center" vertical="center"/>
    </xf>
    <xf numFmtId="0" fontId="12" fillId="3" borderId="26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2" xfId="0" applyFont="1" applyFill="1" applyBorder="1" applyAlignment="1" applyProtection="1">
      <alignment horizontal="center" vertical="center"/>
      <protection hidden="1"/>
    </xf>
    <xf numFmtId="0" fontId="11" fillId="3" borderId="3" xfId="0" applyFont="1" applyFill="1" applyBorder="1" applyAlignment="1" applyProtection="1">
      <alignment horizontal="center" vertical="center"/>
      <protection hidden="1"/>
    </xf>
    <xf numFmtId="0" fontId="11" fillId="3" borderId="4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Border="1" applyAlignment="1" applyProtection="1">
      <alignment horizontal="center" vertical="center"/>
      <protection hidden="1"/>
    </xf>
    <xf numFmtId="0" fontId="11" fillId="3" borderId="5" xfId="0" applyFont="1" applyFill="1" applyBorder="1" applyAlignment="1" applyProtection="1">
      <alignment horizontal="center" vertical="center"/>
      <protection hidden="1"/>
    </xf>
    <xf numFmtId="0" fontId="5" fillId="3" borderId="1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4" fontId="14" fillId="5" borderId="17" xfId="0" applyNumberFormat="1" applyFont="1" applyFill="1" applyBorder="1" applyAlignment="1">
      <alignment horizontal="center" vertical="center"/>
    </xf>
    <xf numFmtId="14" fontId="14" fillId="5" borderId="0" xfId="0" applyNumberFormat="1" applyFont="1" applyFill="1" applyBorder="1" applyAlignment="1">
      <alignment horizontal="center" vertical="center"/>
    </xf>
    <xf numFmtId="49" fontId="1" fillId="0" borderId="24" xfId="0" applyNumberFormat="1" applyFont="1" applyFill="1" applyBorder="1" applyAlignment="1">
      <alignment horizontal="center" vertical="center"/>
    </xf>
    <xf numFmtId="49" fontId="1" fillId="0" borderId="17" xfId="0" applyNumberFormat="1" applyFont="1" applyFill="1" applyBorder="1" applyAlignment="1">
      <alignment horizontal="center" vertical="center"/>
    </xf>
    <xf numFmtId="49" fontId="1" fillId="0" borderId="25" xfId="0" applyNumberFormat="1" applyFont="1" applyFill="1" applyBorder="1" applyAlignment="1">
      <alignment horizontal="center" vertical="center"/>
    </xf>
    <xf numFmtId="49" fontId="1" fillId="0" borderId="26" xfId="0" applyNumberFormat="1" applyFont="1" applyFill="1" applyBorder="1" applyAlignment="1">
      <alignment horizontal="center" vertical="center"/>
    </xf>
    <xf numFmtId="49" fontId="1" fillId="0" borderId="18" xfId="0" applyNumberFormat="1" applyFont="1" applyFill="1" applyBorder="1" applyAlignment="1">
      <alignment horizontal="center" vertical="center"/>
    </xf>
    <xf numFmtId="49" fontId="1" fillId="0" borderId="19" xfId="0" applyNumberFormat="1" applyFont="1" applyFill="1" applyBorder="1" applyAlignment="1">
      <alignment horizontal="center" vertical="center"/>
    </xf>
    <xf numFmtId="0" fontId="15" fillId="0" borderId="24" xfId="0" applyNumberFormat="1" applyFont="1" applyFill="1" applyBorder="1" applyAlignment="1">
      <alignment horizontal="center" vertical="center"/>
    </xf>
    <xf numFmtId="0" fontId="15" fillId="0" borderId="17" xfId="0" applyNumberFormat="1" applyFont="1" applyFill="1" applyBorder="1" applyAlignment="1">
      <alignment horizontal="center" vertical="center"/>
    </xf>
    <xf numFmtId="0" fontId="15" fillId="0" borderId="25" xfId="0" applyNumberFormat="1" applyFont="1" applyFill="1" applyBorder="1" applyAlignment="1">
      <alignment horizontal="center" vertical="center"/>
    </xf>
    <xf numFmtId="0" fontId="15" fillId="0" borderId="26" xfId="0" applyNumberFormat="1" applyFont="1" applyFill="1" applyBorder="1" applyAlignment="1">
      <alignment horizontal="center" vertical="center"/>
    </xf>
    <xf numFmtId="0" fontId="15" fillId="0" borderId="18" xfId="0" applyNumberFormat="1" applyFont="1" applyFill="1" applyBorder="1" applyAlignment="1">
      <alignment horizontal="center" vertical="center"/>
    </xf>
    <xf numFmtId="0" fontId="15" fillId="0" borderId="19" xfId="0" applyNumberFormat="1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5" fillId="0" borderId="25" xfId="0" applyFont="1" applyFill="1" applyBorder="1" applyAlignment="1">
      <alignment horizontal="center" vertical="center"/>
    </xf>
    <xf numFmtId="0" fontId="15" fillId="0" borderId="26" xfId="0" applyFont="1" applyFill="1" applyBorder="1" applyAlignment="1">
      <alignment horizontal="center" vertical="center"/>
    </xf>
    <xf numFmtId="0" fontId="15" fillId="0" borderId="19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9</xdr:row>
      <xdr:rowOff>0</xdr:rowOff>
    </xdr:from>
    <xdr:to>
      <xdr:col>23</xdr:col>
      <xdr:colOff>0</xdr:colOff>
      <xdr:row>13</xdr:row>
      <xdr:rowOff>0</xdr:rowOff>
    </xdr:to>
    <xdr:sp macro="[0]!OrderDcitemUpdate.OrderDcitemUpdate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 bwMode="auto">
        <a:xfrm>
          <a:off x="4114800" y="1310640"/>
          <a:ext cx="1143000" cy="54864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UPDATE</a:t>
          </a:r>
          <a:endParaRPr lang="th-TH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24</xdr:col>
      <xdr:colOff>0</xdr:colOff>
      <xdr:row>9</xdr:row>
      <xdr:rowOff>0</xdr:rowOff>
    </xdr:from>
    <xdr:to>
      <xdr:col>26</xdr:col>
      <xdr:colOff>0</xdr:colOff>
      <xdr:row>13</xdr:row>
      <xdr:rowOff>0</xdr:rowOff>
    </xdr:to>
    <xdr:sp macro="[0]!Save_close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 bwMode="auto">
        <a:xfrm>
          <a:off x="5486400" y="1310640"/>
          <a:ext cx="457200" cy="54864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Save</a:t>
          </a:r>
        </a:p>
        <a:p>
          <a:pPr algn="ctr"/>
          <a:r>
            <a:rPr lang="en-US" sz="1100" b="1">
              <a:solidFill>
                <a:sysClr val="windowText" lastClr="000000"/>
              </a:solidFill>
            </a:rPr>
            <a:t>&amp;</a:t>
          </a:r>
        </a:p>
        <a:p>
          <a:pPr algn="ctr"/>
          <a:r>
            <a:rPr lang="en-US" sz="1100" b="1">
              <a:solidFill>
                <a:sysClr val="windowText" lastClr="000000"/>
              </a:solidFill>
            </a:rPr>
            <a:t>Close</a:t>
          </a:r>
          <a:endParaRPr lang="th-TH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33</xdr:col>
      <xdr:colOff>243416</xdr:colOff>
      <xdr:row>0</xdr:row>
      <xdr:rowOff>95249</xdr:rowOff>
    </xdr:from>
    <xdr:to>
      <xdr:col>37</xdr:col>
      <xdr:colOff>1195915</xdr:colOff>
      <xdr:row>2</xdr:row>
      <xdr:rowOff>63500</xdr:rowOff>
    </xdr:to>
    <xdr:sp macro="" textlink="">
      <xdr:nvSpPr>
        <xdr:cNvPr id="4" name="Line Callout 3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 bwMode="auto">
        <a:xfrm>
          <a:off x="7863416" y="95249"/>
          <a:ext cx="4511039" cy="242571"/>
        </a:xfrm>
        <a:prstGeom prst="borderCallout3">
          <a:avLst>
            <a:gd name="adj1" fmla="val -1250"/>
            <a:gd name="adj2" fmla="val 2564"/>
            <a:gd name="adj3" fmla="val 2750"/>
            <a:gd name="adj4" fmla="val -2872"/>
            <a:gd name="adj5" fmla="val 116000"/>
            <a:gd name="adj6" fmla="val -2872"/>
            <a:gd name="adj7" fmla="val 187990"/>
            <a:gd name="adj8" fmla="val 9962"/>
          </a:avLst>
        </a:prstGeom>
        <a:ln>
          <a:headEnd type="none" w="med" len="med"/>
          <a:tailEnd type="none" w="med" len="med"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th-TH" sz="1100" b="1"/>
            <a:t>ใส่หมายเลขเรียงลำดับไฟล์ที่จะให้เปิดวาง</a:t>
          </a:r>
          <a:r>
            <a:rPr lang="th-TH" sz="1100" b="1" baseline="0"/>
            <a:t> </a:t>
          </a:r>
          <a:r>
            <a:rPr lang="en-US" sz="1100" b="1" baseline="0"/>
            <a:t>Dcitem</a:t>
          </a:r>
          <a:r>
            <a:rPr lang="th-TH" sz="1100" b="1" baseline="0"/>
            <a:t> ไฟล์ไหนไม่เอาไม่ต้องใส่</a:t>
          </a:r>
          <a:endParaRPr lang="th-TH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S38"/>
  <sheetViews>
    <sheetView showGridLines="0" tabSelected="1" zoomScale="105" zoomScaleNormal="105" workbookViewId="0">
      <pane xSplit="50" ySplit="38" topLeftCell="AY39" activePane="bottomRight" state="frozen"/>
      <selection pane="topRight" activeCell="AY1" sqref="AY1"/>
      <selection pane="bottomLeft" activeCell="A39" sqref="A39"/>
      <selection pane="bottomRight" activeCell="AC15" sqref="AC15"/>
    </sheetView>
  </sheetViews>
  <sheetFormatPr defaultColWidth="9" defaultRowHeight="13.8" x14ac:dyDescent="0.25"/>
  <cols>
    <col min="1" max="26" width="3" customWidth="1"/>
    <col min="27" max="27" width="4" customWidth="1"/>
    <col min="28" max="33" width="3" customWidth="1"/>
    <col min="35" max="35" width="2.796875" style="1" customWidth="1"/>
    <col min="36" max="36" width="9" style="1"/>
    <col min="37" max="37" width="26.19921875" style="1" bestFit="1" customWidth="1"/>
    <col min="38" max="38" width="16.59765625" style="1" bestFit="1" customWidth="1"/>
    <col min="39" max="39" width="9" style="1" customWidth="1"/>
    <col min="40" max="40" width="9" style="1"/>
    <col min="41" max="42" width="9" style="1" hidden="1" customWidth="1"/>
    <col min="43" max="43" width="17.19921875" style="1" hidden="1" customWidth="1"/>
    <col min="44" max="44" width="9" style="1" hidden="1" customWidth="1"/>
    <col min="45" max="45" width="0" style="1" hidden="1" customWidth="1"/>
    <col min="46" max="16384" width="9" style="1"/>
  </cols>
  <sheetData>
    <row r="1" spans="1:45" ht="11.25" customHeight="1" thickTop="1" x14ac:dyDescent="0.25">
      <c r="A1" s="50" t="s">
        <v>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2"/>
    </row>
    <row r="2" spans="1:45" ht="11.25" customHeight="1" x14ac:dyDescent="0.25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5"/>
      <c r="AO2" s="1">
        <v>9</v>
      </c>
      <c r="AP2" s="1" t="str">
        <f>VLOOKUP($AO$2,$AI$6:$AM$26,2,0)</f>
        <v>W901</v>
      </c>
      <c r="AQ2" s="1" t="str">
        <f>VLOOKUP($AO$2,$AI$6:$AM$26,3,0)</f>
        <v>W901 MC 25.01.65.xlsb</v>
      </c>
      <c r="AR2" s="1" t="str">
        <f>VLOOKUP($AO$2,$AI$6:$AM$26,4,0)</f>
        <v>W901dcitem.0125.xlsx</v>
      </c>
      <c r="AS2" s="1" t="str">
        <f>VLOOKUP($AO$2,$AI$6:$AM$26,5,0)</f>
        <v>DCMC</v>
      </c>
    </row>
    <row r="3" spans="1:45" ht="11.25" customHeight="1" x14ac:dyDescent="0.25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5"/>
      <c r="AR3" s="1" t="str">
        <f>TEXT(DataPage!$J$10,"MMDD")</f>
        <v>0125</v>
      </c>
    </row>
    <row r="4" spans="1:45" ht="11.25" customHeight="1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5"/>
      <c r="AJ4" s="38" t="s">
        <v>1</v>
      </c>
      <c r="AK4" s="38" t="s">
        <v>2</v>
      </c>
      <c r="AL4" s="38" t="s">
        <v>3</v>
      </c>
      <c r="AO4" s="1">
        <f>MAX(AI6:AI25)</f>
        <v>9</v>
      </c>
      <c r="AQ4" s="1" t="s">
        <v>4</v>
      </c>
      <c r="AR4" s="1" t="s">
        <v>5</v>
      </c>
      <c r="AS4" s="1" t="s">
        <v>21</v>
      </c>
    </row>
    <row r="5" spans="1:45" ht="17.25" customHeight="1" thickBot="1" x14ac:dyDescent="0.3">
      <c r="A5" s="3"/>
      <c r="B5" s="4"/>
      <c r="C5" s="4"/>
      <c r="D5" s="5"/>
      <c r="E5" s="5"/>
      <c r="F5" s="5"/>
      <c r="G5" s="5"/>
      <c r="H5" s="5"/>
      <c r="I5" s="5"/>
      <c r="J5" s="5"/>
      <c r="K5" s="5"/>
      <c r="L5" s="5"/>
      <c r="M5" s="6"/>
      <c r="N5" s="7"/>
      <c r="O5" s="7"/>
      <c r="P5" s="7"/>
      <c r="Q5" s="7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8"/>
      <c r="AI5" s="9">
        <v>0</v>
      </c>
      <c r="AJ5" s="39"/>
      <c r="AK5" s="40"/>
      <c r="AL5" s="41"/>
    </row>
    <row r="6" spans="1:45" ht="11.25" customHeight="1" x14ac:dyDescent="0.25">
      <c r="A6" s="3"/>
      <c r="B6" s="4"/>
      <c r="C6" s="4"/>
      <c r="D6" s="4"/>
      <c r="E6" s="4"/>
      <c r="F6" s="4"/>
      <c r="G6" s="4"/>
      <c r="H6" s="4"/>
      <c r="I6" s="4"/>
      <c r="J6" s="4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5"/>
      <c r="AA6" s="5"/>
      <c r="AB6" s="5"/>
      <c r="AC6" s="5"/>
      <c r="AD6" s="5"/>
      <c r="AE6" s="5"/>
      <c r="AF6" s="6"/>
      <c r="AG6" s="8"/>
      <c r="AI6" s="10">
        <f>IF(AJ6="",0,AI5+1)</f>
        <v>1</v>
      </c>
      <c r="AJ6" s="11" t="s">
        <v>6</v>
      </c>
      <c r="AK6" s="11" t="str">
        <f>$AJ6&amp;" CB"&amp;$Q$16&amp;$U$16</f>
        <v>W121 CB 25.01.65.xlsb</v>
      </c>
      <c r="AL6" s="12" t="str">
        <f t="shared" ref="AL6:AL14" si="0">$AJ6&amp;"dcitem."&amp;$AR$3&amp;".xlsx"</f>
        <v>W121dcitem.0125.xlsx</v>
      </c>
      <c r="AM6" s="13" t="s">
        <v>23</v>
      </c>
    </row>
    <row r="7" spans="1:45" ht="11.25" customHeight="1" x14ac:dyDescent="0.25">
      <c r="A7" s="3"/>
      <c r="B7" s="6"/>
      <c r="C7" s="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8"/>
      <c r="AI7" s="14">
        <v>2</v>
      </c>
      <c r="AJ7" s="2" t="s">
        <v>7</v>
      </c>
      <c r="AK7" s="2" t="str">
        <f>$AJ7&amp;" BR"&amp;$Q$16&amp;$U$16</f>
        <v>W131 BR 25.01.65.xlsb</v>
      </c>
      <c r="AL7" s="15" t="str">
        <f t="shared" si="0"/>
        <v>W131dcitem.0125.xlsx</v>
      </c>
      <c r="AM7" s="13" t="s">
        <v>24</v>
      </c>
    </row>
    <row r="8" spans="1:45" ht="11.25" customHeight="1" x14ac:dyDescent="0.25">
      <c r="A8" s="3"/>
      <c r="B8" s="6"/>
      <c r="C8" s="6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6"/>
      <c r="AE8" s="6"/>
      <c r="AF8" s="6"/>
      <c r="AG8" s="8"/>
      <c r="AI8" s="14">
        <v>3</v>
      </c>
      <c r="AJ8" s="2" t="s">
        <v>8</v>
      </c>
      <c r="AK8" s="2" t="str">
        <f>$AJ8&amp;" HY"&amp;$Q$16&amp;$U$16</f>
        <v>W141 HY 25.01.65.xlsb</v>
      </c>
      <c r="AL8" s="15" t="str">
        <f t="shared" si="0"/>
        <v>W141dcitem.0125.xlsx</v>
      </c>
      <c r="AM8" s="13" t="s">
        <v>25</v>
      </c>
    </row>
    <row r="9" spans="1:45" ht="11.25" customHeight="1" thickBot="1" x14ac:dyDescent="0.3">
      <c r="A9" s="3"/>
      <c r="B9" s="6"/>
      <c r="C9" s="1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6"/>
      <c r="AE9" s="6"/>
      <c r="AF9" s="6"/>
      <c r="AG9" s="8"/>
      <c r="AI9" s="14">
        <v>4</v>
      </c>
      <c r="AJ9" s="2" t="s">
        <v>9</v>
      </c>
      <c r="AK9" s="2" t="str">
        <f>$AJ9&amp;" NS"&amp;$Q$16&amp;$U$16</f>
        <v>W151 NS 25.01.65.xlsb</v>
      </c>
      <c r="AL9" s="15" t="str">
        <f t="shared" si="0"/>
        <v>W151dcitem.0125.xlsx</v>
      </c>
      <c r="AM9" s="13" t="s">
        <v>26</v>
      </c>
    </row>
    <row r="10" spans="1:45" ht="11.25" customHeight="1" x14ac:dyDescent="0.25">
      <c r="A10" s="3"/>
      <c r="B10" s="6"/>
      <c r="C10" s="5"/>
      <c r="D10" s="5"/>
      <c r="E10" s="5"/>
      <c r="F10" s="56" t="s">
        <v>10</v>
      </c>
      <c r="G10" s="56"/>
      <c r="H10" s="56"/>
      <c r="I10" s="56"/>
      <c r="J10" s="58">
        <v>44586</v>
      </c>
      <c r="K10" s="58"/>
      <c r="L10" s="58"/>
      <c r="M10" s="58"/>
      <c r="N10" s="58"/>
      <c r="O10" s="58"/>
      <c r="P10" s="58"/>
      <c r="Q10" s="58"/>
      <c r="R10" s="5"/>
      <c r="S10" s="5"/>
      <c r="T10" s="6"/>
      <c r="U10" s="6"/>
      <c r="V10" s="6"/>
      <c r="W10" s="6"/>
      <c r="X10" s="6"/>
      <c r="Y10" s="6"/>
      <c r="Z10" s="6"/>
      <c r="AA10" s="6"/>
      <c r="AB10" s="6"/>
      <c r="AC10" s="5"/>
      <c r="AD10" s="5"/>
      <c r="AE10" s="5"/>
      <c r="AF10" s="5"/>
      <c r="AG10" s="8"/>
      <c r="AI10" s="14">
        <v>5</v>
      </c>
      <c r="AJ10" s="2" t="s">
        <v>11</v>
      </c>
      <c r="AK10" s="2" t="str">
        <f>$AJ10&amp;" LP"&amp;$Q$16&amp;$U$16</f>
        <v>W301 LP 25.01.65.xlsb</v>
      </c>
      <c r="AL10" s="15" t="str">
        <f t="shared" si="0"/>
        <v>W301dcitem.0125.xlsx</v>
      </c>
      <c r="AM10" s="13" t="s">
        <v>27</v>
      </c>
    </row>
    <row r="11" spans="1:45" ht="11.25" customHeight="1" x14ac:dyDescent="0.25">
      <c r="A11" s="3"/>
      <c r="B11" s="6"/>
      <c r="C11" s="5"/>
      <c r="D11" s="5"/>
      <c r="E11" s="5"/>
      <c r="F11" s="57"/>
      <c r="G11" s="57"/>
      <c r="H11" s="57"/>
      <c r="I11" s="57"/>
      <c r="J11" s="59"/>
      <c r="K11" s="59"/>
      <c r="L11" s="59"/>
      <c r="M11" s="59"/>
      <c r="N11" s="59"/>
      <c r="O11" s="59"/>
      <c r="P11" s="59"/>
      <c r="Q11" s="59"/>
      <c r="R11" s="5"/>
      <c r="S11" s="5"/>
      <c r="T11" s="6"/>
      <c r="U11" s="6"/>
      <c r="V11" s="6"/>
      <c r="W11" s="6"/>
      <c r="X11" s="6"/>
      <c r="Y11" s="6"/>
      <c r="Z11" s="6"/>
      <c r="AA11" s="6"/>
      <c r="AB11" s="6"/>
      <c r="AC11" s="5"/>
      <c r="AD11" s="5"/>
      <c r="AE11" s="5"/>
      <c r="AF11" s="5"/>
      <c r="AG11" s="8"/>
      <c r="AI11" s="14">
        <v>6</v>
      </c>
      <c r="AJ11" s="2" t="s">
        <v>12</v>
      </c>
      <c r="AK11" s="2" t="str">
        <f>$AJ11&amp;" ST"&amp;$Q$16&amp;$U$16</f>
        <v>W401 ST 25.01.65.xlsb</v>
      </c>
      <c r="AL11" s="15" t="str">
        <f t="shared" si="0"/>
        <v>W401dcitem.0125.xlsx</v>
      </c>
      <c r="AM11" s="13" t="s">
        <v>32</v>
      </c>
    </row>
    <row r="12" spans="1:45" ht="11.25" customHeight="1" x14ac:dyDescent="0.25">
      <c r="A12" s="3"/>
      <c r="B12" s="6"/>
      <c r="C12" s="5"/>
      <c r="D12" s="5"/>
      <c r="E12" s="5"/>
      <c r="F12" s="57"/>
      <c r="G12" s="57"/>
      <c r="H12" s="57"/>
      <c r="I12" s="57"/>
      <c r="J12" s="59"/>
      <c r="K12" s="59"/>
      <c r="L12" s="59"/>
      <c r="M12" s="59"/>
      <c r="N12" s="59"/>
      <c r="O12" s="59"/>
      <c r="P12" s="59"/>
      <c r="Q12" s="59"/>
      <c r="R12" s="5"/>
      <c r="S12" s="5"/>
      <c r="T12" s="6"/>
      <c r="U12" s="6"/>
      <c r="V12" s="6"/>
      <c r="W12" s="6"/>
      <c r="X12" s="6"/>
      <c r="Y12" s="6"/>
      <c r="Z12" s="6"/>
      <c r="AA12" s="6"/>
      <c r="AB12" s="6"/>
      <c r="AC12" s="5"/>
      <c r="AD12" s="5"/>
      <c r="AE12" s="5"/>
      <c r="AF12" s="5"/>
      <c r="AG12" s="8"/>
      <c r="AI12" s="14">
        <v>7</v>
      </c>
      <c r="AJ12" s="2" t="s">
        <v>13</v>
      </c>
      <c r="AK12" s="2" t="str">
        <f>$AJ12&amp;" SB"&amp;$Q$16&amp;$U$16</f>
        <v>W501 SB 25.01.65.xlsb</v>
      </c>
      <c r="AL12" s="15" t="str">
        <f t="shared" si="0"/>
        <v>W501dcitem.0125.xlsx</v>
      </c>
      <c r="AM12" s="13" t="s">
        <v>22</v>
      </c>
    </row>
    <row r="13" spans="1:45" ht="11.25" customHeight="1" x14ac:dyDescent="0.25">
      <c r="A13" s="3"/>
      <c r="B13" s="6"/>
      <c r="C13" s="5"/>
      <c r="D13" s="5"/>
      <c r="E13" s="5"/>
      <c r="F13" s="57"/>
      <c r="G13" s="57"/>
      <c r="H13" s="57"/>
      <c r="I13" s="57"/>
      <c r="J13" s="59"/>
      <c r="K13" s="59"/>
      <c r="L13" s="59"/>
      <c r="M13" s="59"/>
      <c r="N13" s="59"/>
      <c r="O13" s="59"/>
      <c r="P13" s="59"/>
      <c r="Q13" s="59"/>
      <c r="R13" s="5"/>
      <c r="S13" s="5"/>
      <c r="T13" s="6"/>
      <c r="U13" s="6"/>
      <c r="V13" s="6"/>
      <c r="W13" s="6"/>
      <c r="X13" s="6"/>
      <c r="Y13" s="6"/>
      <c r="Z13" s="6"/>
      <c r="AA13" s="6"/>
      <c r="AB13" s="6"/>
      <c r="AC13" s="5"/>
      <c r="AD13" s="5"/>
      <c r="AE13" s="5"/>
      <c r="AF13" s="5"/>
      <c r="AG13" s="8"/>
      <c r="AI13" s="14">
        <v>8</v>
      </c>
      <c r="AJ13" s="2" t="s">
        <v>14</v>
      </c>
      <c r="AK13" s="2" t="str">
        <f>$AJ13&amp;" KK"&amp;$Q$16&amp;$U$16</f>
        <v>W801 KK 25.01.65.xlsb</v>
      </c>
      <c r="AL13" s="15" t="str">
        <f t="shared" si="0"/>
        <v>W801dcitem.0125.xlsx</v>
      </c>
      <c r="AM13" s="13" t="s">
        <v>28</v>
      </c>
    </row>
    <row r="14" spans="1:45" ht="11.25" customHeight="1" thickBot="1" x14ac:dyDescent="0.3">
      <c r="A14" s="3"/>
      <c r="B14" s="6"/>
      <c r="C14" s="5"/>
      <c r="D14" s="5"/>
      <c r="E14" s="5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8"/>
      <c r="T14" s="6"/>
      <c r="U14" s="6"/>
      <c r="V14" s="6"/>
      <c r="W14" s="6"/>
      <c r="X14" s="6"/>
      <c r="Y14" s="6"/>
      <c r="Z14" s="6"/>
      <c r="AA14" s="6"/>
      <c r="AB14" s="6"/>
      <c r="AC14" s="5"/>
      <c r="AD14" s="5"/>
      <c r="AE14" s="5"/>
      <c r="AF14" s="5"/>
      <c r="AG14" s="8"/>
      <c r="AI14" s="19">
        <v>9</v>
      </c>
      <c r="AJ14" s="20" t="s">
        <v>15</v>
      </c>
      <c r="AK14" s="20" t="str">
        <f>$AJ14&amp;" MC"&amp;$Q$16&amp;$U$16</f>
        <v>W901 MC 25.01.65.xlsb</v>
      </c>
      <c r="AL14" s="21" t="str">
        <f t="shared" si="0"/>
        <v>W901dcitem.0125.xlsx</v>
      </c>
      <c r="AM14" s="13" t="s">
        <v>29</v>
      </c>
    </row>
    <row r="15" spans="1:45" ht="11.25" customHeight="1" thickBot="1" x14ac:dyDescent="0.3">
      <c r="A15" s="3"/>
      <c r="B15" s="6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6"/>
      <c r="Z15" s="6"/>
      <c r="AA15" s="6"/>
      <c r="AB15" s="6"/>
      <c r="AC15" s="5"/>
      <c r="AD15" s="5"/>
      <c r="AE15" s="5"/>
      <c r="AF15" s="5"/>
      <c r="AG15" s="8"/>
      <c r="AI15" s="22"/>
      <c r="AJ15" s="22"/>
      <c r="AK15" s="22"/>
      <c r="AL15" s="22"/>
      <c r="AM15" s="2"/>
    </row>
    <row r="16" spans="1:45" ht="11.25" customHeight="1" x14ac:dyDescent="0.25">
      <c r="A16" s="3"/>
      <c r="B16" s="6"/>
      <c r="C16" s="5"/>
      <c r="D16" s="5"/>
      <c r="E16" s="5"/>
      <c r="F16" s="42" t="s">
        <v>16</v>
      </c>
      <c r="G16" s="43"/>
      <c r="H16" s="43"/>
      <c r="I16" s="43"/>
      <c r="J16" s="43"/>
      <c r="K16" s="43"/>
      <c r="L16" s="43"/>
      <c r="M16" s="60"/>
      <c r="N16" s="61"/>
      <c r="O16" s="61"/>
      <c r="P16" s="62"/>
      <c r="Q16" s="66" t="str">
        <f>" "&amp;TEXT($J$10,"dd.mm.")&amp;65</f>
        <v xml:space="preserve"> 25.01.65</v>
      </c>
      <c r="R16" s="67"/>
      <c r="S16" s="67"/>
      <c r="T16" s="68"/>
      <c r="U16" s="72" t="s">
        <v>17</v>
      </c>
      <c r="V16" s="73"/>
      <c r="W16" s="5"/>
      <c r="X16" s="5"/>
      <c r="Y16" s="5"/>
      <c r="Z16" s="5"/>
      <c r="AA16" s="6"/>
      <c r="AB16" s="6"/>
      <c r="AC16" s="5"/>
      <c r="AD16" s="5"/>
      <c r="AE16" s="5"/>
      <c r="AF16" s="5"/>
      <c r="AG16" s="8"/>
      <c r="AI16" s="2"/>
      <c r="AJ16" s="2"/>
      <c r="AK16" s="2"/>
      <c r="AL16" s="2"/>
      <c r="AM16" s="2"/>
    </row>
    <row r="17" spans="1:39" ht="11.25" customHeight="1" thickBot="1" x14ac:dyDescent="0.3">
      <c r="A17" s="3"/>
      <c r="B17" s="6"/>
      <c r="C17" s="5"/>
      <c r="D17" s="5"/>
      <c r="E17" s="5"/>
      <c r="F17" s="45"/>
      <c r="G17" s="46"/>
      <c r="H17" s="46"/>
      <c r="I17" s="46"/>
      <c r="J17" s="46"/>
      <c r="K17" s="46"/>
      <c r="L17" s="46"/>
      <c r="M17" s="63"/>
      <c r="N17" s="64"/>
      <c r="O17" s="64"/>
      <c r="P17" s="65"/>
      <c r="Q17" s="69"/>
      <c r="R17" s="70"/>
      <c r="S17" s="70"/>
      <c r="T17" s="71"/>
      <c r="U17" s="74"/>
      <c r="V17" s="75"/>
      <c r="W17" s="5"/>
      <c r="X17" s="5"/>
      <c r="Y17" s="5"/>
      <c r="Z17" s="5"/>
      <c r="AA17" s="6"/>
      <c r="AB17" s="6"/>
      <c r="AC17" s="5"/>
      <c r="AD17" s="5"/>
      <c r="AE17" s="5"/>
      <c r="AF17" s="5"/>
      <c r="AG17" s="8"/>
      <c r="AI17" s="2"/>
      <c r="AJ17" s="2"/>
      <c r="AK17" s="2"/>
      <c r="AL17" s="2"/>
      <c r="AM17" s="2"/>
    </row>
    <row r="18" spans="1:39" ht="11.25" customHeight="1" x14ac:dyDescent="0.25">
      <c r="A18" s="3"/>
      <c r="B18" s="6"/>
      <c r="C18" s="5"/>
      <c r="D18" s="5"/>
      <c r="E18" s="5"/>
      <c r="F18" s="5"/>
      <c r="G18" s="5"/>
      <c r="H18" s="5"/>
      <c r="I18" s="5"/>
      <c r="J18" s="23"/>
      <c r="K18" s="24"/>
      <c r="L18" s="24"/>
      <c r="M18" s="25"/>
      <c r="N18" s="23"/>
      <c r="O18" s="24"/>
      <c r="P18" s="24"/>
      <c r="Q18" s="25"/>
      <c r="R18" s="23"/>
      <c r="S18" s="24"/>
      <c r="T18" s="24"/>
      <c r="U18" s="25"/>
      <c r="V18" s="26"/>
      <c r="W18" s="26"/>
      <c r="X18" s="6"/>
      <c r="Y18" s="6"/>
      <c r="Z18" s="6"/>
      <c r="AA18" s="6"/>
      <c r="AB18" s="6"/>
      <c r="AC18" s="5"/>
      <c r="AD18" s="5"/>
      <c r="AE18" s="5"/>
      <c r="AF18" s="5"/>
      <c r="AG18" s="8"/>
      <c r="AI18" s="2" t="str">
        <f t="shared" ref="AI18:AI25" si="1">IF($AJ18="","",$AI17+1)</f>
        <v/>
      </c>
      <c r="AJ18" s="2"/>
      <c r="AK18" s="2"/>
      <c r="AL18" s="2"/>
      <c r="AM18" s="2"/>
    </row>
    <row r="19" spans="1:39" ht="11.25" customHeight="1" thickBot="1" x14ac:dyDescent="0.3">
      <c r="A19" s="3"/>
      <c r="B19" s="6"/>
      <c r="C19" s="5"/>
      <c r="D19" s="5"/>
      <c r="E19" s="5"/>
      <c r="F19" s="5"/>
      <c r="G19" s="5"/>
      <c r="H19" s="5"/>
      <c r="I19" s="5"/>
      <c r="J19" s="27"/>
      <c r="K19" s="28"/>
      <c r="L19" s="28"/>
      <c r="M19" s="29"/>
      <c r="N19" s="27"/>
      <c r="O19" s="28"/>
      <c r="P19" s="28"/>
      <c r="Q19" s="29"/>
      <c r="R19" s="27"/>
      <c r="S19" s="28"/>
      <c r="T19" s="28"/>
      <c r="U19" s="29"/>
      <c r="V19" s="30"/>
      <c r="W19" s="30"/>
      <c r="X19" s="6"/>
      <c r="Y19" s="6"/>
      <c r="Z19" s="6"/>
      <c r="AA19" s="6"/>
      <c r="AB19" s="6"/>
      <c r="AC19" s="5"/>
      <c r="AD19" s="5"/>
      <c r="AE19" s="5"/>
      <c r="AF19" s="5"/>
      <c r="AG19" s="8"/>
      <c r="AI19" s="2" t="str">
        <f t="shared" si="1"/>
        <v/>
      </c>
      <c r="AJ19" s="2"/>
      <c r="AK19" s="2"/>
      <c r="AL19" s="2"/>
      <c r="AM19" s="2"/>
    </row>
    <row r="20" spans="1:39" ht="11.25" customHeight="1" x14ac:dyDescent="0.25">
      <c r="A20" s="3"/>
      <c r="B20" s="4"/>
      <c r="C20" s="42" t="s">
        <v>30</v>
      </c>
      <c r="D20" s="43"/>
      <c r="E20" s="43"/>
      <c r="F20" s="43"/>
      <c r="G20" s="43"/>
      <c r="H20" s="43"/>
      <c r="I20" s="44"/>
      <c r="J20" s="48" t="s">
        <v>20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5"/>
      <c r="AE20" s="5"/>
      <c r="AF20" s="5"/>
      <c r="AG20" s="8"/>
      <c r="AI20" s="2" t="str">
        <f t="shared" si="1"/>
        <v/>
      </c>
      <c r="AJ20" s="2"/>
      <c r="AK20" s="2"/>
      <c r="AL20" s="2"/>
      <c r="AM20" s="2"/>
    </row>
    <row r="21" spans="1:39" ht="11.25" customHeight="1" thickBot="1" x14ac:dyDescent="0.3">
      <c r="A21" s="3"/>
      <c r="B21" s="4"/>
      <c r="C21" s="45"/>
      <c r="D21" s="46"/>
      <c r="E21" s="46"/>
      <c r="F21" s="46"/>
      <c r="G21" s="46"/>
      <c r="H21" s="46"/>
      <c r="I21" s="47"/>
      <c r="J21" s="48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5"/>
      <c r="AE21" s="5"/>
      <c r="AF21" s="5"/>
      <c r="AG21" s="8"/>
      <c r="AI21" s="2" t="str">
        <f t="shared" si="1"/>
        <v/>
      </c>
      <c r="AJ21" s="2"/>
      <c r="AK21" s="2"/>
      <c r="AL21" s="2"/>
      <c r="AM21" s="2"/>
    </row>
    <row r="22" spans="1:39" ht="11.25" customHeight="1" x14ac:dyDescent="0.25">
      <c r="A22" s="3"/>
      <c r="B22" s="4"/>
      <c r="C22" s="5"/>
      <c r="D22" s="5"/>
      <c r="E22" s="5"/>
      <c r="F22" s="5"/>
      <c r="G22" s="5"/>
      <c r="H22" s="5"/>
      <c r="I22" s="5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6"/>
      <c r="Y22" s="6"/>
      <c r="Z22" s="6"/>
      <c r="AA22" s="6"/>
      <c r="AB22" s="6"/>
      <c r="AC22" s="5"/>
      <c r="AD22" s="5"/>
      <c r="AE22" s="5"/>
      <c r="AF22" s="5"/>
      <c r="AG22" s="8"/>
      <c r="AI22" s="2" t="str">
        <f t="shared" si="1"/>
        <v/>
      </c>
      <c r="AJ22" s="2"/>
      <c r="AK22" s="2"/>
      <c r="AL22" s="2"/>
      <c r="AM22" s="2"/>
    </row>
    <row r="23" spans="1:39" ht="11.25" customHeight="1" thickBot="1" x14ac:dyDescent="0.3">
      <c r="A23" s="3"/>
      <c r="B23" s="4"/>
      <c r="C23" s="5"/>
      <c r="D23" s="5"/>
      <c r="E23" s="5"/>
      <c r="F23" s="5"/>
      <c r="G23" s="5"/>
      <c r="H23" s="5"/>
      <c r="I23" s="5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6"/>
      <c r="Y23" s="6"/>
      <c r="Z23" s="6"/>
      <c r="AA23" s="6"/>
      <c r="AB23" s="6"/>
      <c r="AC23" s="5"/>
      <c r="AD23" s="5"/>
      <c r="AE23" s="5"/>
      <c r="AF23" s="5"/>
      <c r="AG23" s="8"/>
      <c r="AI23" s="2" t="str">
        <f t="shared" si="1"/>
        <v/>
      </c>
      <c r="AJ23" s="2"/>
      <c r="AK23" s="2"/>
      <c r="AL23" s="2"/>
      <c r="AM23" s="2"/>
    </row>
    <row r="24" spans="1:39" ht="11.25" customHeight="1" x14ac:dyDescent="0.25">
      <c r="A24" s="3"/>
      <c r="B24" s="4"/>
      <c r="C24" s="42" t="s">
        <v>31</v>
      </c>
      <c r="D24" s="43"/>
      <c r="E24" s="43"/>
      <c r="F24" s="43"/>
      <c r="G24" s="43"/>
      <c r="H24" s="43"/>
      <c r="I24" s="44"/>
      <c r="J24" s="48" t="str">
        <f>"D:\test\DCITEM\DCITEM "&amp;TEXT(J10,"DDMM")&amp;"65\"</f>
        <v>D:\test\DCITEM\DCITEM 250165\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5"/>
      <c r="AE24" s="5"/>
      <c r="AF24" s="5"/>
      <c r="AG24" s="8"/>
      <c r="AI24" s="2" t="str">
        <f t="shared" si="1"/>
        <v/>
      </c>
      <c r="AJ24" s="2"/>
      <c r="AK24" s="2"/>
      <c r="AL24" s="2"/>
      <c r="AM24" s="2"/>
    </row>
    <row r="25" spans="1:39" ht="11.25" customHeight="1" thickBot="1" x14ac:dyDescent="0.3">
      <c r="A25" s="3"/>
      <c r="B25" s="4"/>
      <c r="C25" s="45"/>
      <c r="D25" s="46"/>
      <c r="E25" s="46"/>
      <c r="F25" s="46"/>
      <c r="G25" s="46"/>
      <c r="H25" s="46"/>
      <c r="I25" s="47"/>
      <c r="J25" s="48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5"/>
      <c r="AE25" s="5"/>
      <c r="AF25" s="5"/>
      <c r="AG25" s="8"/>
      <c r="AI25" s="2" t="str">
        <f t="shared" si="1"/>
        <v/>
      </c>
      <c r="AJ25" s="2"/>
      <c r="AK25" s="2"/>
      <c r="AL25" s="2"/>
      <c r="AM25" s="2"/>
    </row>
    <row r="26" spans="1:39" ht="11.25" customHeight="1" x14ac:dyDescent="0.25">
      <c r="A26" s="3"/>
      <c r="B26" s="4"/>
      <c r="C26" s="5"/>
      <c r="D26" s="5"/>
      <c r="E26" s="5"/>
      <c r="F26" s="5"/>
      <c r="G26" s="5"/>
      <c r="H26" s="5"/>
      <c r="I26" s="5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6"/>
      <c r="Y26" s="6"/>
      <c r="Z26" s="6"/>
      <c r="AA26" s="6"/>
      <c r="AB26" s="6"/>
      <c r="AC26" s="5"/>
      <c r="AD26" s="5"/>
      <c r="AE26" s="5"/>
      <c r="AF26" s="5"/>
      <c r="AG26" s="8"/>
    </row>
    <row r="27" spans="1:39" ht="11.25" customHeight="1" thickBot="1" x14ac:dyDescent="0.3">
      <c r="A27" s="3"/>
      <c r="B27" s="4"/>
      <c r="C27" s="5"/>
      <c r="D27" s="5"/>
      <c r="E27" s="5"/>
      <c r="F27" s="5"/>
      <c r="G27" s="5"/>
      <c r="H27" s="5"/>
      <c r="I27" s="5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6"/>
      <c r="Y27" s="6"/>
      <c r="Z27" s="6"/>
      <c r="AA27" s="6"/>
      <c r="AB27" s="6"/>
      <c r="AC27" s="5"/>
      <c r="AD27" s="5"/>
      <c r="AE27" s="5"/>
      <c r="AF27" s="5"/>
      <c r="AG27" s="8"/>
    </row>
    <row r="28" spans="1:39" ht="11.25" customHeight="1" x14ac:dyDescent="0.25">
      <c r="A28" s="3"/>
      <c r="B28" s="4"/>
      <c r="C28" s="42" t="s">
        <v>18</v>
      </c>
      <c r="D28" s="43"/>
      <c r="E28" s="43"/>
      <c r="F28" s="43"/>
      <c r="G28" s="43"/>
      <c r="H28" s="43"/>
      <c r="I28" s="44"/>
      <c r="J28" s="48" t="s">
        <v>19</v>
      </c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5"/>
      <c r="AE28" s="5"/>
      <c r="AF28" s="5"/>
      <c r="AG28" s="8"/>
    </row>
    <row r="29" spans="1:39" ht="11.25" customHeight="1" thickBot="1" x14ac:dyDescent="0.3">
      <c r="A29" s="3"/>
      <c r="B29" s="4"/>
      <c r="C29" s="45"/>
      <c r="D29" s="46"/>
      <c r="E29" s="46"/>
      <c r="F29" s="46"/>
      <c r="G29" s="46"/>
      <c r="H29" s="46"/>
      <c r="I29" s="47"/>
      <c r="J29" s="48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5"/>
      <c r="AE29" s="5"/>
      <c r="AF29" s="5"/>
      <c r="AG29" s="8"/>
    </row>
    <row r="30" spans="1:39" ht="11.25" customHeight="1" x14ac:dyDescent="0.25">
      <c r="A30" s="3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6"/>
      <c r="AC30" s="6"/>
      <c r="AD30" s="6"/>
      <c r="AE30" s="6"/>
      <c r="AF30" s="6"/>
      <c r="AG30" s="8"/>
    </row>
    <row r="31" spans="1:39" ht="11.25" customHeight="1" x14ac:dyDescent="0.25">
      <c r="A31" s="3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6"/>
      <c r="AC31" s="6"/>
      <c r="AD31" s="6"/>
      <c r="AE31" s="6"/>
      <c r="AF31" s="6"/>
      <c r="AG31" s="8"/>
    </row>
    <row r="32" spans="1:39" ht="11.25" customHeight="1" x14ac:dyDescent="0.25">
      <c r="A32" s="3"/>
      <c r="B32" s="4"/>
      <c r="C32" s="4"/>
      <c r="D32" s="4"/>
      <c r="E32" s="4"/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6"/>
      <c r="AC32" s="6"/>
      <c r="AD32" s="6"/>
      <c r="AE32" s="6"/>
      <c r="AF32" s="6"/>
      <c r="AG32" s="8"/>
    </row>
    <row r="33" spans="1:33" ht="11.25" customHeight="1" x14ac:dyDescent="0.25">
      <c r="A33" s="3"/>
      <c r="B33" s="4"/>
      <c r="C33" s="4"/>
      <c r="D33" s="4"/>
      <c r="E33" s="4"/>
      <c r="F33" s="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6"/>
      <c r="AC33" s="6"/>
      <c r="AD33" s="6"/>
      <c r="AE33" s="6"/>
      <c r="AF33" s="6"/>
      <c r="AG33" s="8"/>
    </row>
    <row r="34" spans="1:33" ht="11.25" customHeight="1" x14ac:dyDescent="0.25">
      <c r="A34" s="3"/>
      <c r="B34" s="4"/>
      <c r="C34" s="4"/>
      <c r="D34" s="4"/>
      <c r="E34" s="4"/>
      <c r="F34" s="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6"/>
      <c r="AC34" s="6"/>
      <c r="AD34" s="6"/>
      <c r="AE34" s="6"/>
      <c r="AF34" s="6"/>
      <c r="AG34" s="8"/>
    </row>
    <row r="35" spans="1:33" ht="11.25" customHeight="1" x14ac:dyDescent="0.25">
      <c r="A35" s="3"/>
      <c r="B35" s="4"/>
      <c r="C35" s="4"/>
      <c r="D35" s="4"/>
      <c r="E35" s="4"/>
      <c r="F35" s="4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6"/>
      <c r="AC35" s="6"/>
      <c r="AD35" s="6"/>
      <c r="AE35" s="6"/>
      <c r="AF35" s="6"/>
      <c r="AG35" s="8"/>
    </row>
    <row r="36" spans="1:33" ht="11.25" customHeight="1" x14ac:dyDescent="0.25">
      <c r="A36" s="3"/>
      <c r="B36" s="4"/>
      <c r="C36" s="4"/>
      <c r="D36" s="4"/>
      <c r="E36" s="4"/>
      <c r="F36" s="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32"/>
      <c r="AC36" s="32"/>
      <c r="AD36" s="32"/>
      <c r="AE36" s="32"/>
      <c r="AF36" s="32"/>
      <c r="AG36" s="33"/>
    </row>
    <row r="37" spans="1:33" ht="11.25" customHeight="1" thickBot="1" x14ac:dyDescent="0.3">
      <c r="A37" s="34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6"/>
      <c r="Y37" s="36"/>
      <c r="Z37" s="36"/>
      <c r="AA37" s="36"/>
      <c r="AB37" s="36"/>
      <c r="AC37" s="36"/>
      <c r="AD37" s="36"/>
      <c r="AE37" s="36"/>
      <c r="AF37" s="36"/>
      <c r="AG37" s="37"/>
    </row>
    <row r="38" spans="1:33" ht="14.4" thickTop="1" x14ac:dyDescent="0.25"/>
  </sheetData>
  <mergeCells count="13">
    <mergeCell ref="A1:AG4"/>
    <mergeCell ref="F10:I13"/>
    <mergeCell ref="J10:Q13"/>
    <mergeCell ref="F16:L17"/>
    <mergeCell ref="M16:P17"/>
    <mergeCell ref="Q16:T17"/>
    <mergeCell ref="U16:V17"/>
    <mergeCell ref="C20:I21"/>
    <mergeCell ref="J20:AC21"/>
    <mergeCell ref="C24:I25"/>
    <mergeCell ref="J24:AC25"/>
    <mergeCell ref="C28:I29"/>
    <mergeCell ref="J28:AC29"/>
  </mergeCells>
  <conditionalFormatting sqref="AI6:AI25">
    <cfRule type="notContainsBlanks" dxfId="0" priority="3">
      <formula>LEN(TRIM(AI6))&gt;0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DataPage</vt:lpstr>
      <vt:lpstr>DataPageAI3</vt:lpstr>
      <vt:lpstr>Maximum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Sophon Hanboontham</dc:creator>
  <cp:lastModifiedBy>Sophon Hanboontham</cp:lastModifiedBy>
  <dcterms:created xsi:type="dcterms:W3CDTF">2022-01-21T10:12:03Z</dcterms:created>
  <dcterms:modified xsi:type="dcterms:W3CDTF">2022-01-25T10:43:00Z</dcterms:modified>
</cp:coreProperties>
</file>