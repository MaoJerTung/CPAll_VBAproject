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ไฟล์สั่ง\"/>
    </mc:Choice>
  </mc:AlternateContent>
  <bookViews>
    <workbookView showHorizontalScroll="0" showVerticalScroll="0" showSheetTabs="0" xWindow="0" yWindow="0" windowWidth="23040" windowHeight="9270"/>
  </bookViews>
  <sheets>
    <sheet name="HomePage" sheetId="1" r:id="rId1"/>
    <sheet name="Form_ProOnline" sheetId="2" r:id="rId2"/>
  </sheets>
  <definedNames>
    <definedName name="_xlnm._FilterDatabase" localSheetId="1" hidden="1">Form_ProOnline!$G$2:$AG$11981</definedName>
    <definedName name="DataPageAI3">HomePage!$AA$6</definedName>
    <definedName name="Maximum">HomePage!$AA$7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17" i="1" l="1"/>
  <c r="AL17" i="1"/>
  <c r="AL16" i="1"/>
  <c r="AL15" i="1"/>
  <c r="AL14" i="1"/>
  <c r="AL13" i="1"/>
  <c r="AL12" i="1"/>
  <c r="AL11" i="1"/>
  <c r="AL10" i="1"/>
  <c r="AL9" i="1"/>
  <c r="AL8" i="1"/>
  <c r="AL7" i="1"/>
  <c r="AL6" i="1"/>
  <c r="AB32" i="1" l="1"/>
  <c r="AA32" i="1"/>
  <c r="AK17" i="1" s="1"/>
  <c r="A1" i="2" l="1"/>
  <c r="A2" i="2"/>
  <c r="AA30" i="1" l="1"/>
  <c r="AK16" i="1" s="1"/>
  <c r="AA28" i="1"/>
  <c r="AK15" i="1" s="1"/>
  <c r="AA26" i="1"/>
  <c r="AK14" i="1" s="1"/>
  <c r="AA24" i="1"/>
  <c r="AK13" i="1" s="1"/>
  <c r="AA22" i="1"/>
  <c r="AK12" i="1" s="1"/>
  <c r="AA20" i="1"/>
  <c r="AK11" i="1" s="1"/>
  <c r="AA18" i="1"/>
  <c r="AK10" i="1" s="1"/>
  <c r="AA16" i="1"/>
  <c r="AK9" i="1" s="1"/>
  <c r="AA14" i="1"/>
  <c r="AK8" i="1" s="1"/>
  <c r="AA12" i="1"/>
  <c r="AK7" i="1" s="1"/>
  <c r="AB30" i="1"/>
  <c r="AB28" i="1"/>
  <c r="AB26" i="1"/>
  <c r="AB24" i="1"/>
  <c r="AB22" i="1"/>
  <c r="AB20" i="1"/>
  <c r="AB18" i="1"/>
  <c r="AB16" i="1"/>
  <c r="AB14" i="1"/>
  <c r="AB12" i="1"/>
  <c r="AA10" i="1"/>
  <c r="AK6" i="1" s="1"/>
  <c r="AB10" i="1"/>
  <c r="AF15" i="1" l="1"/>
  <c r="AF14" i="1"/>
  <c r="AF13" i="1"/>
  <c r="AF16" i="1"/>
  <c r="AF12" i="1"/>
  <c r="AB6" i="1"/>
  <c r="AF11" i="1"/>
  <c r="AF18" i="1"/>
  <c r="AF10" i="1"/>
  <c r="AF17" i="1"/>
  <c r="AA7" i="1"/>
  <c r="AF19" i="1"/>
  <c r="AF20" i="1"/>
  <c r="AG6" i="1" l="1"/>
  <c r="AH6" i="1"/>
  <c r="AE6" i="1"/>
  <c r="AF6" i="1"/>
  <c r="AA9" i="1"/>
  <c r="C11" i="1" l="1"/>
  <c r="C8" i="1"/>
  <c r="D5" i="1"/>
  <c r="N7" i="1"/>
  <c r="N8" i="1"/>
  <c r="N9" i="1"/>
  <c r="N10" i="1"/>
  <c r="N11" i="1"/>
  <c r="N12" i="1"/>
  <c r="N13" i="1"/>
  <c r="N14" i="1"/>
  <c r="N15" i="1"/>
  <c r="N16" i="1"/>
  <c r="N6" i="1"/>
  <c r="AD6" i="1" l="1"/>
  <c r="M14" i="1"/>
  <c r="AM14" i="1" s="1"/>
  <c r="M6" i="1"/>
  <c r="AM6" i="1" s="1"/>
  <c r="M12" i="1"/>
  <c r="AM12" i="1" s="1"/>
  <c r="M13" i="1"/>
  <c r="AM13" i="1" s="1"/>
  <c r="M16" i="1"/>
  <c r="AM16" i="1" s="1"/>
  <c r="M8" i="1"/>
  <c r="AM8" i="1" s="1"/>
  <c r="M10" i="1"/>
  <c r="AM10" i="1" s="1"/>
  <c r="M9" i="1"/>
  <c r="AM9" i="1" s="1"/>
  <c r="M15" i="1"/>
  <c r="AM15" i="1" s="1"/>
  <c r="M7" i="1"/>
  <c r="AM7" i="1" s="1"/>
  <c r="M11" i="1"/>
  <c r="AM11" i="1" s="1"/>
  <c r="C9" i="1"/>
  <c r="AC6" i="1" l="1"/>
  <c r="AN6" i="1" l="1"/>
  <c r="AO6" i="1" l="1"/>
  <c r="AP6" i="1"/>
  <c r="AN7" i="1"/>
  <c r="AP7" i="1" l="1"/>
  <c r="AN8" i="1"/>
  <c r="AO7" i="1"/>
  <c r="AN9" i="1" l="1"/>
  <c r="AO8" i="1"/>
  <c r="AP8" i="1"/>
  <c r="AO9" i="1" l="1"/>
  <c r="AP9" i="1"/>
  <c r="AN10" i="1"/>
  <c r="AN11" i="1" s="1"/>
  <c r="AP11" i="1" s="1"/>
  <c r="AP10" i="1" l="1"/>
  <c r="AO10" i="1"/>
  <c r="AO11" i="1"/>
  <c r="AN12" i="1"/>
  <c r="AP12" i="1" s="1"/>
  <c r="AN13" i="1" l="1"/>
  <c r="AO13" i="1" s="1"/>
  <c r="AO12" i="1"/>
  <c r="AN14" i="1" l="1"/>
  <c r="AO14" i="1" s="1"/>
  <c r="AP13" i="1"/>
  <c r="AP14" i="1" l="1"/>
  <c r="AN15" i="1"/>
  <c r="AO15" i="1" s="1"/>
  <c r="AP15" i="1" l="1"/>
  <c r="AN16" i="1"/>
  <c r="AP16" i="1" s="1"/>
  <c r="AO16" i="1" l="1"/>
  <c r="AN17" i="1"/>
  <c r="AO5" i="1" s="1"/>
  <c r="AO17" i="1" l="1"/>
  <c r="AP17" i="1"/>
</calcChain>
</file>

<file path=xl/comments1.xml><?xml version="1.0" encoding="utf-8"?>
<comments xmlns="http://schemas.openxmlformats.org/spreadsheetml/2006/main">
  <authors>
    <author>Sophon Hanboontham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ชื่อไฟล์หลักหน้า Code คลัง
ex. _______W101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ชื่อไฟล์หลักหลัง Code คลัง
ex. W101_______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นามสกุลไฟล์สั่งของ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ที่อยู่ไฟล์สั่ง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ที่อยู่ Dcitem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ชื่อไฟล์ Branch.นามสกุล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ที่อยู่ Xpons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ชื่อ Sheet ในไฟล์สั่งของ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ชื่อไฟล์ Top.นามสกุล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ชื่อ Sheet ในไฟล์สั่งของ</t>
        </r>
      </text>
    </comment>
    <comment ref="C17" authorId="0" shapeId="0">
      <text>
        <r>
          <rPr>
            <b/>
            <sz val="9"/>
            <color indexed="81"/>
            <rFont val="Tahoma"/>
            <family val="2"/>
          </rPr>
          <t>ชื่อไฟล์ RANK.นามสกุล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สำหรับเพิ่มคลังอื่น ๆ Ex. PMA95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9"/>
            <color indexed="81"/>
            <rFont val="Tahoma"/>
            <family val="2"/>
          </rPr>
          <t>ชื่อ Sheet ในไฟล์สั่งของ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ตั้งวันที่จะเปลี่ยนโปรใหม่ ไป Sheetโปร เก่า
ก่อนกด UpdatePro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ชื่อไฟล์ Promotion.นามสกุล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2" authorId="0" shapeId="0">
      <text>
        <r>
          <rPr>
            <b/>
            <sz val="9"/>
            <color indexed="81"/>
            <rFont val="Tahoma"/>
            <family val="2"/>
          </rPr>
          <t>ชื่อ Sheet ในไฟล์สั่งของ</t>
        </r>
      </text>
    </comment>
  </commentList>
</comments>
</file>

<file path=xl/sharedStrings.xml><?xml version="1.0" encoding="utf-8"?>
<sst xmlns="http://schemas.openxmlformats.org/spreadsheetml/2006/main" count="110" uniqueCount="89">
  <si>
    <t>DATE</t>
  </si>
  <si>
    <t>Order File Name</t>
  </si>
  <si>
    <t>Oder File Location</t>
  </si>
  <si>
    <t>Dcitem File Location</t>
  </si>
  <si>
    <t>Branch File Name</t>
  </si>
  <si>
    <t>Promotion File Name</t>
  </si>
  <si>
    <t>Top File Name</t>
  </si>
  <si>
    <t>XPONS File location</t>
  </si>
  <si>
    <t>Rank File Name</t>
  </si>
  <si>
    <t>.xlsb</t>
  </si>
  <si>
    <t>D:\ไฟล์สั่ง\</t>
  </si>
  <si>
    <t>Schedule Update Promotiom</t>
  </si>
  <si>
    <t>CODE DC</t>
  </si>
  <si>
    <t>Order File name</t>
  </si>
  <si>
    <t>Sheet name branch</t>
  </si>
  <si>
    <t>Sheet name Top</t>
  </si>
  <si>
    <t>Select All</t>
  </si>
  <si>
    <t>W101</t>
  </si>
  <si>
    <t>W121</t>
  </si>
  <si>
    <t>W131</t>
  </si>
  <si>
    <t>W141</t>
  </si>
  <si>
    <t>W151</t>
  </si>
  <si>
    <t>W161</t>
  </si>
  <si>
    <t>W301</t>
  </si>
  <si>
    <t>W401</t>
  </si>
  <si>
    <t>W501</t>
  </si>
  <si>
    <t>W801</t>
  </si>
  <si>
    <t>W901</t>
  </si>
  <si>
    <t>XPONS</t>
  </si>
  <si>
    <t>Wildcard 1st name orderfile</t>
  </si>
  <si>
    <t>BB</t>
  </si>
  <si>
    <t>CB</t>
  </si>
  <si>
    <t>BR</t>
  </si>
  <si>
    <t>HY</t>
  </si>
  <si>
    <t>NS</t>
  </si>
  <si>
    <t>AC</t>
  </si>
  <si>
    <t>LP</t>
  </si>
  <si>
    <t>ST</t>
  </si>
  <si>
    <t>SB</t>
  </si>
  <si>
    <t>KK</t>
  </si>
  <si>
    <t>MC</t>
  </si>
  <si>
    <t>DC4</t>
  </si>
  <si>
    <t>RDCCB</t>
  </si>
  <si>
    <t>RDCBR</t>
  </si>
  <si>
    <t>RDCHY</t>
  </si>
  <si>
    <t>RDCNS</t>
  </si>
  <si>
    <t>DCAC</t>
  </si>
  <si>
    <t>RDCLP</t>
  </si>
  <si>
    <t>RDCST</t>
  </si>
  <si>
    <t>DC5</t>
  </si>
  <si>
    <t>RDCKK</t>
  </si>
  <si>
    <t>DCMC</t>
  </si>
  <si>
    <t xml:space="preserve">W101 BB </t>
  </si>
  <si>
    <t xml:space="preserve">W121 CB </t>
  </si>
  <si>
    <t xml:space="preserve">W131 BR </t>
  </si>
  <si>
    <t xml:space="preserve">W141 HY </t>
  </si>
  <si>
    <t xml:space="preserve">W151 NS </t>
  </si>
  <si>
    <t xml:space="preserve">W161 AC </t>
  </si>
  <si>
    <t xml:space="preserve">W301 LP </t>
  </si>
  <si>
    <t xml:space="preserve">W401 ST </t>
  </si>
  <si>
    <t xml:space="preserve">W501 SB </t>
  </si>
  <si>
    <t xml:space="preserve">W801 KK </t>
  </si>
  <si>
    <t xml:space="preserve">W901 MC </t>
  </si>
  <si>
    <t>Sheet name Rank</t>
  </si>
  <si>
    <t>Order file</t>
  </si>
  <si>
    <t>DcItem</t>
  </si>
  <si>
    <t>Dcitem File name</t>
  </si>
  <si>
    <t>Xpons</t>
  </si>
  <si>
    <t>Branch</t>
  </si>
  <si>
    <t>Top1000</t>
  </si>
  <si>
    <t>Rank</t>
  </si>
  <si>
    <t>Sheet Promotion name</t>
  </si>
  <si>
    <t>Pro_New</t>
  </si>
  <si>
    <t>Pro_Old</t>
  </si>
  <si>
    <t>ProOnline</t>
  </si>
  <si>
    <t>(โปรใหม่,ปัจจุบัน)</t>
  </si>
  <si>
    <t>(โปรเก่า,เดือนที่แล้ว)</t>
  </si>
  <si>
    <t>(โปรออนไลน์)</t>
  </si>
  <si>
    <t>Sheet Xpons name</t>
  </si>
  <si>
    <t>Sheet Top name</t>
  </si>
  <si>
    <t>Sheet Rank name</t>
  </si>
  <si>
    <t>Top750</t>
  </si>
  <si>
    <t>DCBB</t>
  </si>
  <si>
    <t>DCSB</t>
  </si>
  <si>
    <t>PMA95</t>
  </si>
  <si>
    <t>Ver.2.7</t>
  </si>
  <si>
    <t>2 Promotion Feb 23 Total_ครั้งที่ 2.4.xlsx</t>
  </si>
  <si>
    <t>01. TOP1000 ทุกคลังทั้งเดือน Dec 22 ใช้เดือน Jan 23.xlsx</t>
  </si>
  <si>
    <t>RankAllDCJan2023.xlsx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</si>
</sst>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Tahoma"/>
      <family val="2"/>
      <charset val="22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omic Sans MS"/>
      <family val="4"/>
    </font>
    <font>
      <sz val="14"/>
      <color theme="1"/>
      <name val="Comic Sans MS"/>
      <family val="4"/>
    </font>
    <font>
      <b/>
      <sz val="16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1"/>
      <color theme="1"/>
      <name val="Tahoma"/>
      <family val="2"/>
      <scheme val="minor"/>
    </font>
    <font>
      <sz val="12"/>
      <color theme="1"/>
      <name val="Tahoma"/>
      <family val="2"/>
      <charset val="222"/>
      <scheme val="minor"/>
    </font>
    <font>
      <b/>
      <sz val="48"/>
      <color theme="1"/>
      <name val="Arial"/>
      <family val="2"/>
    </font>
    <font>
      <sz val="11"/>
      <color rgb="FF000000"/>
      <name val="Arial Black"/>
      <family val="2"/>
    </font>
    <font>
      <sz val="11"/>
      <color theme="1"/>
      <name val="Tahoma"/>
      <family val="2"/>
      <charset val="222"/>
      <scheme val="minor"/>
    </font>
    <font>
      <sz val="10"/>
      <name val="Arial"/>
      <family val="2"/>
    </font>
    <font>
      <sz val="14"/>
      <name val="AngsanaUPC"/>
      <family val="1"/>
      <charset val="222"/>
    </font>
    <font>
      <sz val="14"/>
      <name val="Cordia New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3752F"/>
        <bgColor indexed="64"/>
      </patternFill>
    </fill>
    <fill>
      <patternFill patternType="solid">
        <fgColor theme="2"/>
        <bgColor indexed="64"/>
      </patternFill>
    </fill>
    <fill>
      <gradientFill type="path" degree="180" left="0.5" right="0.5" top="0.5" bottom="0.5">
        <stop position="0">
          <color rgb="FF0FA755"/>
        </stop>
        <stop position="1">
          <color theme="9" tint="0.80001220740379042"/>
        </stop>
      </gradient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</borders>
  <cellStyleXfs count="4">
    <xf numFmtId="0" fontId="0" fillId="0" borderId="0"/>
    <xf numFmtId="0" fontId="13" fillId="0" borderId="0"/>
    <xf numFmtId="0" fontId="12" fillId="0" borderId="0"/>
    <xf numFmtId="0" fontId="13" fillId="0" borderId="0"/>
  </cellStyleXfs>
  <cellXfs count="46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0" xfId="0" applyFont="1" applyFill="1" applyAlignment="1"/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left"/>
    </xf>
    <xf numFmtId="0" fontId="9" fillId="2" borderId="0" xfId="0" applyFont="1" applyFill="1" applyAlignment="1">
      <alignment horizontal="center"/>
    </xf>
    <xf numFmtId="0" fontId="4" fillId="0" borderId="1" xfId="0" applyFont="1" applyFill="1" applyBorder="1"/>
    <xf numFmtId="0" fontId="4" fillId="0" borderId="1" xfId="0" applyFont="1" applyFill="1" applyBorder="1" applyAlignment="1">
      <alignment horizontal="center"/>
    </xf>
    <xf numFmtId="0" fontId="7" fillId="0" borderId="1" xfId="0" applyFont="1" applyFill="1" applyBorder="1" applyAlignment="1"/>
    <xf numFmtId="0" fontId="7" fillId="0" borderId="1" xfId="0" applyFont="1" applyFill="1" applyBorder="1"/>
    <xf numFmtId="14" fontId="4" fillId="0" borderId="7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0" fillId="3" borderId="7" xfId="0" applyFill="1" applyBorder="1"/>
    <xf numFmtId="0" fontId="0" fillId="3" borderId="13" xfId="0" applyFill="1" applyBorder="1"/>
    <xf numFmtId="0" fontId="0" fillId="3" borderId="14" xfId="0" applyFill="1" applyBorder="1"/>
    <xf numFmtId="0" fontId="5" fillId="4" borderId="1" xfId="0" applyFont="1" applyFill="1" applyBorder="1" applyAlignment="1">
      <alignment vertical="center"/>
    </xf>
    <xf numFmtId="0" fontId="3" fillId="4" borderId="1" xfId="0" applyFont="1" applyFill="1" applyBorder="1"/>
    <xf numFmtId="0" fontId="6" fillId="4" borderId="1" xfId="0" applyFont="1" applyFill="1" applyBorder="1"/>
    <xf numFmtId="0" fontId="8" fillId="4" borderId="1" xfId="0" applyFont="1" applyFill="1" applyBorder="1" applyAlignment="1">
      <alignment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0" fillId="5" borderId="0" xfId="0" applyFill="1"/>
    <xf numFmtId="0" fontId="13" fillId="0" borderId="0" xfId="1"/>
    <xf numFmtId="0" fontId="13" fillId="0" borderId="0" xfId="1" applyNumberFormat="1"/>
    <xf numFmtId="0" fontId="13" fillId="0" borderId="0" xfId="1" applyAlignment="1">
      <alignment horizontal="center" vertical="center" wrapText="1"/>
    </xf>
    <xf numFmtId="0" fontId="13" fillId="0" borderId="0" xfId="1" applyAlignment="1">
      <alignment horizontal="left"/>
    </xf>
    <xf numFmtId="0" fontId="14" fillId="0" borderId="15" xfId="1" applyNumberFormat="1" applyFont="1" applyFill="1" applyBorder="1" applyAlignment="1">
      <alignment horizontal="left" vertical="center"/>
    </xf>
    <xf numFmtId="0" fontId="12" fillId="0" borderId="0" xfId="2"/>
    <xf numFmtId="16" fontId="15" fillId="0" borderId="16" xfId="3" quotePrefix="1" applyNumberFormat="1" applyFont="1" applyBorder="1" applyAlignment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 applyAlignment="1">
      <alignment vertical="center"/>
    </xf>
    <xf numFmtId="0" fontId="0" fillId="3" borderId="12" xfId="0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/>
    </xf>
    <xf numFmtId="0" fontId="4" fillId="0" borderId="3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10" fillId="6" borderId="0" xfId="0" applyFont="1" applyFill="1" applyAlignment="1">
      <alignment horizontal="center" vertical="center"/>
    </xf>
  </cellXfs>
  <cellStyles count="4">
    <cellStyle name="Normal" xfId="0" builtinId="0"/>
    <cellStyle name="Normal 15 2" xfId="3"/>
    <cellStyle name="Normal 17" xfId="2"/>
    <cellStyle name="Normal 2" xfId="1"/>
  </cellStyles>
  <dxfs count="0"/>
  <tableStyles count="0" defaultTableStyle="TableStyleMedium2" defaultPivotStyle="PivotStyleLight16"/>
  <colors>
    <mruColors>
      <color rgb="FF0FA755"/>
      <color rgb="FFEC2427"/>
      <color rgb="FFF3752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fmlaLink="$AD$10" lockText="1" noThreeD="1"/>
</file>

<file path=xl/ctrlProps/ctrlProp3.xml><?xml version="1.0" encoding="utf-8"?>
<formControlPr xmlns="http://schemas.microsoft.com/office/spreadsheetml/2009/9/main" objectType="CheckBox" checked="Checked" fmlaLink="$AD$12" lockText="1" noThreeD="1"/>
</file>

<file path=xl/ctrlProps/ctrlProp4.xml><?xml version="1.0" encoding="utf-8"?>
<formControlPr xmlns="http://schemas.microsoft.com/office/spreadsheetml/2009/9/main" objectType="CheckBox" checked="Checked" fmlaLink="$AD$14" lockText="1" noThreeD="1"/>
</file>

<file path=xl/ctrlProps/ctrlProp5.xml><?xml version="1.0" encoding="utf-8"?>
<formControlPr xmlns="http://schemas.microsoft.com/office/spreadsheetml/2009/9/main" objectType="CheckBox" checked="Checked" fmlaLink="$AD$16" lockText="1" noThreeD="1"/>
</file>

<file path=xl/ctrlProps/ctrlProp6.xml><?xml version="1.0" encoding="utf-8"?>
<formControlPr xmlns="http://schemas.microsoft.com/office/spreadsheetml/2009/9/main" objectType="CheckBox" checked="Checked" fmlaLink="$AD$20" lockText="1" noThreeD="1"/>
</file>

<file path=xl/ctrlProps/ctrlProp7.xml><?xml version="1.0" encoding="utf-8"?>
<formControlPr xmlns="http://schemas.microsoft.com/office/spreadsheetml/2009/9/main" objectType="CheckBox" checked="Checked" fmlaLink="$AD$22" lockText="1" noThreeD="1"/>
</file>

<file path=xl/ctrlProps/ctrlProp8.xml><?xml version="1.0" encoding="utf-8"?>
<formControlPr xmlns="http://schemas.microsoft.com/office/spreadsheetml/2009/9/main" objectType="CheckBox" checked="Checked" fmlaLink="$AD$26" lockText="1" noThreeD="1"/>
</file>

<file path=xl/ctrlProps/ctrlProp9.xml><?xml version="1.0" encoding="utf-8"?>
<formControlPr xmlns="http://schemas.microsoft.com/office/spreadsheetml/2009/9/main" objectType="CheckBox" checked="Checked" fmlaLink="$AD$24" lockText="1" noThreeD="1"/>
</file>

<file path=xl/ctrlProps/ctrlProp10.xml><?xml version="1.0" encoding="utf-8"?>
<formControlPr xmlns="http://schemas.microsoft.com/office/spreadsheetml/2009/9/main" objectType="CheckBox" checked="Checked" fmlaLink="$AD$28" lockText="1" noThreeD="1"/>
</file>

<file path=xl/ctrlProps/ctrlProp11.xml><?xml version="1.0" encoding="utf-8"?>
<formControlPr xmlns="http://schemas.microsoft.com/office/spreadsheetml/2009/9/main" objectType="CheckBox" checked="Checked" fmlaLink="$AD$30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fmlaLink="$AD$32" lockText="1" noThreeD="1"/>
</file>

<file path=xl/ctrlProps/ctrlProp22.xml><?xml version="1.0" encoding="utf-8"?>
<formControlPr xmlns="http://schemas.microsoft.com/office/spreadsheetml/2009/9/main" objectType="CheckBox" checked="Checked" fmlaLink="$AD$18" lockText="1" noThreeD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4</xdr:row>
          <xdr:rowOff>95250</xdr:rowOff>
        </xdr:from>
        <xdr:to>
          <xdr:col>11</xdr:col>
          <xdr:colOff>161925</xdr:colOff>
          <xdr:row>4</xdr:row>
          <xdr:rowOff>314325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5</xdr:row>
          <xdr:rowOff>104775</xdr:rowOff>
        </xdr:from>
        <xdr:to>
          <xdr:col>11</xdr:col>
          <xdr:colOff>161925</xdr:colOff>
          <xdr:row>5</xdr:row>
          <xdr:rowOff>314325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6</xdr:row>
          <xdr:rowOff>76200</xdr:rowOff>
        </xdr:from>
        <xdr:to>
          <xdr:col>11</xdr:col>
          <xdr:colOff>161925</xdr:colOff>
          <xdr:row>6</xdr:row>
          <xdr:rowOff>285750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7</xdr:row>
          <xdr:rowOff>76200</xdr:rowOff>
        </xdr:from>
        <xdr:to>
          <xdr:col>11</xdr:col>
          <xdr:colOff>161925</xdr:colOff>
          <xdr:row>7</xdr:row>
          <xdr:rowOff>304800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8</xdr:row>
          <xdr:rowOff>95250</xdr:rowOff>
        </xdr:from>
        <xdr:to>
          <xdr:col>11</xdr:col>
          <xdr:colOff>161925</xdr:colOff>
          <xdr:row>8</xdr:row>
          <xdr:rowOff>314325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9</xdr:row>
          <xdr:rowOff>76200</xdr:rowOff>
        </xdr:from>
        <xdr:to>
          <xdr:col>11</xdr:col>
          <xdr:colOff>161925</xdr:colOff>
          <xdr:row>9</xdr:row>
          <xdr:rowOff>304800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10</xdr:row>
          <xdr:rowOff>76200</xdr:rowOff>
        </xdr:from>
        <xdr:to>
          <xdr:col>11</xdr:col>
          <xdr:colOff>161925</xdr:colOff>
          <xdr:row>10</xdr:row>
          <xdr:rowOff>304800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11</xdr:row>
          <xdr:rowOff>57150</xdr:rowOff>
        </xdr:from>
        <xdr:to>
          <xdr:col>11</xdr:col>
          <xdr:colOff>161925</xdr:colOff>
          <xdr:row>11</xdr:row>
          <xdr:rowOff>285750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13</xdr:row>
          <xdr:rowOff>95250</xdr:rowOff>
        </xdr:from>
        <xdr:to>
          <xdr:col>11</xdr:col>
          <xdr:colOff>161925</xdr:colOff>
          <xdr:row>13</xdr:row>
          <xdr:rowOff>314325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12</xdr:row>
          <xdr:rowOff>76200</xdr:rowOff>
        </xdr:from>
        <xdr:to>
          <xdr:col>11</xdr:col>
          <xdr:colOff>161925</xdr:colOff>
          <xdr:row>12</xdr:row>
          <xdr:rowOff>304800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14</xdr:row>
          <xdr:rowOff>95250</xdr:rowOff>
        </xdr:from>
        <xdr:to>
          <xdr:col>11</xdr:col>
          <xdr:colOff>161925</xdr:colOff>
          <xdr:row>14</xdr:row>
          <xdr:rowOff>314325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15</xdr:row>
          <xdr:rowOff>114300</xdr:rowOff>
        </xdr:from>
        <xdr:to>
          <xdr:col>11</xdr:col>
          <xdr:colOff>161925</xdr:colOff>
          <xdr:row>15</xdr:row>
          <xdr:rowOff>333375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2</xdr:row>
          <xdr:rowOff>47625</xdr:rowOff>
        </xdr:from>
        <xdr:to>
          <xdr:col>4</xdr:col>
          <xdr:colOff>333375</xdr:colOff>
          <xdr:row>2</xdr:row>
          <xdr:rowOff>438150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Arial Black"/>
                </a:rPr>
                <a:t>Dcitem &amp; XP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561325</xdr:colOff>
      <xdr:row>0</xdr:row>
      <xdr:rowOff>62255</xdr:rowOff>
    </xdr:from>
    <xdr:to>
      <xdr:col>20</xdr:col>
      <xdr:colOff>512365</xdr:colOff>
      <xdr:row>0</xdr:row>
      <xdr:rowOff>649370</xdr:rowOff>
    </xdr:to>
    <xdr:sp macro="[0]!Save_close" textlink="">
      <xdr:nvSpPr>
        <xdr:cNvPr id="3" name="Rounded Rectangle 2"/>
        <xdr:cNvSpPr/>
      </xdr:nvSpPr>
      <xdr:spPr>
        <a:xfrm>
          <a:off x="22278325" y="62255"/>
          <a:ext cx="627008" cy="587115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latin typeface="Arial Black" panose="020B0A04020102020204" pitchFamily="34" charset="0"/>
            </a:rPr>
            <a:t>X</a:t>
          </a:r>
          <a:endParaRPr lang="th-TH" sz="3200">
            <a:latin typeface="Arial Black" panose="020B0A04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19050</xdr:rowOff>
        </xdr:from>
        <xdr:to>
          <xdr:col>6</xdr:col>
          <xdr:colOff>514350</xdr:colOff>
          <xdr:row>4</xdr:row>
          <xdr:rowOff>333375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Arial Black"/>
                </a:rPr>
                <a:t>Rename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14</xdr:row>
          <xdr:rowOff>47625</xdr:rowOff>
        </xdr:from>
        <xdr:to>
          <xdr:col>4</xdr:col>
          <xdr:colOff>28575</xdr:colOff>
          <xdr:row>14</xdr:row>
          <xdr:rowOff>361950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Arial Black"/>
                </a:rPr>
                <a:t>Top1000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18</xdr:row>
          <xdr:rowOff>381000</xdr:rowOff>
        </xdr:from>
        <xdr:to>
          <xdr:col>3</xdr:col>
          <xdr:colOff>1238250</xdr:colOff>
          <xdr:row>19</xdr:row>
          <xdr:rowOff>314325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Arial Black"/>
                </a:rPr>
                <a:t>Pro offline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18</xdr:row>
          <xdr:rowOff>381000</xdr:rowOff>
        </xdr:from>
        <xdr:to>
          <xdr:col>5</xdr:col>
          <xdr:colOff>171450</xdr:colOff>
          <xdr:row>19</xdr:row>
          <xdr:rowOff>314325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Arial Black"/>
                </a:rPr>
                <a:t>ProOld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17</xdr:row>
          <xdr:rowOff>38100</xdr:rowOff>
        </xdr:from>
        <xdr:to>
          <xdr:col>4</xdr:col>
          <xdr:colOff>47625</xdr:colOff>
          <xdr:row>17</xdr:row>
          <xdr:rowOff>361950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Arial Black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57150</xdr:rowOff>
        </xdr:from>
        <xdr:to>
          <xdr:col>4</xdr:col>
          <xdr:colOff>47625</xdr:colOff>
          <xdr:row>11</xdr:row>
          <xdr:rowOff>381000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Arial Black"/>
                </a:rPr>
                <a:t>Xpons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18</xdr:row>
          <xdr:rowOff>361950</xdr:rowOff>
        </xdr:from>
        <xdr:to>
          <xdr:col>7</xdr:col>
          <xdr:colOff>85725</xdr:colOff>
          <xdr:row>19</xdr:row>
          <xdr:rowOff>295275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Arial Black"/>
                </a:rPr>
                <a:t>ProOnline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6</xdr:row>
          <xdr:rowOff>0</xdr:rowOff>
        </xdr:from>
        <xdr:to>
          <xdr:col>6</xdr:col>
          <xdr:colOff>542925</xdr:colOff>
          <xdr:row>6</xdr:row>
          <xdr:rowOff>323850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Arial Black"/>
                </a:rPr>
                <a:t>Dcitem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321472</xdr:colOff>
      <xdr:row>0</xdr:row>
      <xdr:rowOff>23812</xdr:rowOff>
    </xdr:from>
    <xdr:to>
      <xdr:col>19</xdr:col>
      <xdr:colOff>416722</xdr:colOff>
      <xdr:row>0</xdr:row>
      <xdr:rowOff>785812</xdr:rowOff>
    </xdr:to>
    <xdr:pic macro="[0]!UnhideToolti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24097" y="23812"/>
          <a:ext cx="762000" cy="762000"/>
        </a:xfrm>
        <a:prstGeom prst="rect">
          <a:avLst/>
        </a:prstGeom>
      </xdr:spPr>
    </xdr:pic>
    <xdr:clientData/>
  </xdr:twoCellAnchor>
  <xdr:oneCellAnchor>
    <xdr:from>
      <xdr:col>0</xdr:col>
      <xdr:colOff>1</xdr:colOff>
      <xdr:row>0</xdr:row>
      <xdr:rowOff>35715</xdr:rowOff>
    </xdr:from>
    <xdr:ext cx="23002874" cy="952504"/>
    <xdr:sp macro="" textlink="">
      <xdr:nvSpPr>
        <xdr:cNvPr id="4" name="Rectangle 3"/>
        <xdr:cNvSpPr/>
      </xdr:nvSpPr>
      <xdr:spPr>
        <a:xfrm>
          <a:off x="1" y="35715"/>
          <a:ext cx="23002874" cy="952504"/>
        </a:xfrm>
        <a:prstGeom prst="rect">
          <a:avLst/>
        </a:prstGeom>
        <a:noFill/>
        <a:effectLst>
          <a:glow>
            <a:schemeClr val="accent1">
              <a:alpha val="40000"/>
            </a:schemeClr>
          </a:glo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38100">
                <a:solidFill>
                  <a:schemeClr val="bg1"/>
                </a:solidFill>
                <a:prstDash val="solid"/>
              </a:ln>
              <a:solidFill>
                <a:srgbClr val="0FA755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ORDERING</a:t>
          </a:r>
          <a:r>
            <a:rPr lang="en-US" sz="5400" b="1" cap="none" spc="0">
              <a:ln w="38100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 </a:t>
          </a:r>
          <a:r>
            <a:rPr lang="en-US" sz="5400" b="1" cap="none" spc="0">
              <a:ln w="38100">
                <a:solidFill>
                  <a:schemeClr val="bg1"/>
                </a:solidFill>
                <a:prstDash val="solid"/>
              </a:ln>
              <a:solidFill>
                <a:srgbClr val="F3752F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FILE</a:t>
          </a:r>
          <a:r>
            <a:rPr lang="en-US" sz="5400" b="1" cap="none" spc="0">
              <a:ln w="38100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 </a:t>
          </a:r>
          <a:r>
            <a:rPr lang="en-US" sz="5400" b="1" cap="none" spc="0">
              <a:ln w="38100">
                <a:solidFill>
                  <a:schemeClr val="bg1"/>
                </a:solidFill>
                <a:prstDash val="solid"/>
              </a:ln>
              <a:solidFill>
                <a:srgbClr val="EC2427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</a:rPr>
            <a:t>UPDATE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16</xdr:row>
          <xdr:rowOff>114300</xdr:rowOff>
        </xdr:from>
        <xdr:to>
          <xdr:col>11</xdr:col>
          <xdr:colOff>161925</xdr:colOff>
          <xdr:row>16</xdr:row>
          <xdr:rowOff>333375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180975</xdr:colOff>
          <xdr:row>2</xdr:row>
          <xdr:rowOff>476250</xdr:rowOff>
        </xdr:from>
        <xdr:to>
          <xdr:col>17</xdr:col>
          <xdr:colOff>1200150</xdr:colOff>
          <xdr:row>3</xdr:row>
          <xdr:rowOff>285750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Arial Black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47"/>
  <sheetViews>
    <sheetView showRowColHeaders="0" tabSelected="1" zoomScale="79" zoomScaleNormal="79" workbookViewId="0">
      <selection sqref="A1:U1"/>
    </sheetView>
  </sheetViews>
  <sheetFormatPr defaultRowHeight="14.25" x14ac:dyDescent="0.2"/>
  <cols>
    <col min="2" max="2" width="32.75" bestFit="1" customWidth="1"/>
    <col min="3" max="3" width="15.75" customWidth="1"/>
    <col min="4" max="4" width="17.375" customWidth="1"/>
    <col min="5" max="5" width="13.125" customWidth="1"/>
    <col min="8" max="8" width="7" customWidth="1"/>
    <col min="11" max="11" width="13.5" customWidth="1"/>
    <col min="12" max="12" width="9.125" bestFit="1" customWidth="1"/>
    <col min="13" max="13" width="19.75" customWidth="1"/>
    <col min="14" max="14" width="21.5" customWidth="1"/>
    <col min="15" max="15" width="19.75" customWidth="1"/>
    <col min="16" max="16" width="27.75" bestFit="1" customWidth="1"/>
    <col min="17" max="17" width="16.625" bestFit="1" customWidth="1"/>
    <col min="18" max="18" width="18.125" bestFit="1" customWidth="1"/>
    <col min="27" max="34" width="8.75" hidden="1" customWidth="1"/>
    <col min="35" max="37" width="0" hidden="1" customWidth="1"/>
    <col min="38" max="38" width="20.75" hidden="1" customWidth="1"/>
    <col min="39" max="39" width="19.75" hidden="1" customWidth="1"/>
    <col min="40" max="40" width="0" hidden="1" customWidth="1"/>
    <col min="41" max="41" width="20.375" hidden="1" customWidth="1"/>
    <col min="42" max="42" width="19.75" hidden="1" customWidth="1"/>
  </cols>
  <sheetData>
    <row r="1" spans="1:42" ht="78" customHeight="1" x14ac:dyDescent="0.2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</row>
    <row r="2" spans="1:42" ht="15" thickBo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</row>
    <row r="3" spans="1:42" ht="39.6" customHeight="1" thickBot="1" x14ac:dyDescent="0.45">
      <c r="A3" s="1"/>
      <c r="B3" s="16" t="s">
        <v>0</v>
      </c>
      <c r="C3" s="41">
        <v>44971</v>
      </c>
      <c r="D3" s="2"/>
      <c r="E3" s="2"/>
      <c r="F3" s="2"/>
      <c r="G3" s="2"/>
      <c r="H3" s="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</row>
    <row r="4" spans="1:42" ht="28.9" customHeight="1" thickBot="1" x14ac:dyDescent="0.45">
      <c r="A4" s="1"/>
      <c r="B4" s="2"/>
      <c r="C4" s="2"/>
      <c r="D4" s="2"/>
      <c r="E4" s="2"/>
      <c r="F4" s="2"/>
      <c r="G4" s="2"/>
      <c r="H4" s="2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42" ht="30.6" customHeight="1" thickBot="1" x14ac:dyDescent="0.5">
      <c r="A5" s="1"/>
      <c r="B5" s="17" t="s">
        <v>1</v>
      </c>
      <c r="C5" s="7"/>
      <c r="D5" s="8" t="str">
        <f>" "&amp;TEXT($C$3,"dd.mm.bb")</f>
        <v xml:space="preserve"> 14.02.66</v>
      </c>
      <c r="E5" s="7" t="s">
        <v>9</v>
      </c>
      <c r="F5" s="2"/>
      <c r="G5" s="2"/>
      <c r="H5" s="2"/>
      <c r="I5" s="1"/>
      <c r="J5" s="1"/>
      <c r="K5" s="19" t="s">
        <v>16</v>
      </c>
      <c r="L5" s="20" t="s">
        <v>12</v>
      </c>
      <c r="M5" s="21" t="s">
        <v>13</v>
      </c>
      <c r="N5" s="22" t="s">
        <v>66</v>
      </c>
      <c r="O5" s="22" t="s">
        <v>14</v>
      </c>
      <c r="P5" s="22" t="s">
        <v>29</v>
      </c>
      <c r="Q5" s="22" t="s">
        <v>15</v>
      </c>
      <c r="R5" s="23" t="s">
        <v>63</v>
      </c>
      <c r="S5" s="1"/>
      <c r="T5" s="1"/>
      <c r="U5" s="1"/>
      <c r="V5" s="24"/>
      <c r="W5" s="24"/>
      <c r="X5" s="24"/>
      <c r="Y5" s="24"/>
      <c r="Z5" s="24"/>
      <c r="AA5" s="24"/>
      <c r="AB5" s="24"/>
      <c r="AC5" s="24" t="s">
        <v>64</v>
      </c>
      <c r="AD5" s="24" t="s">
        <v>65</v>
      </c>
      <c r="AE5" s="24" t="s">
        <v>67</v>
      </c>
      <c r="AF5" s="24" t="s">
        <v>68</v>
      </c>
      <c r="AG5" s="24" t="s">
        <v>69</v>
      </c>
      <c r="AH5" s="24" t="s">
        <v>70</v>
      </c>
      <c r="AI5" s="24"/>
      <c r="AJ5" s="24"/>
      <c r="AK5" s="24"/>
      <c r="AO5">
        <f>MAX(AN6:AN17)</f>
        <v>10</v>
      </c>
    </row>
    <row r="6" spans="1:42" ht="30.6" customHeight="1" thickBot="1" x14ac:dyDescent="0.45">
      <c r="A6" s="1"/>
      <c r="B6" s="2"/>
      <c r="C6" s="2"/>
      <c r="D6" s="2"/>
      <c r="E6" s="2"/>
      <c r="F6" s="2"/>
      <c r="G6" s="2"/>
      <c r="H6" s="2"/>
      <c r="I6" s="1"/>
      <c r="J6" s="1"/>
      <c r="K6" s="13"/>
      <c r="L6" s="32" t="s">
        <v>17</v>
      </c>
      <c r="M6" s="33" t="str">
        <f>$L6&amp;" "&amp;AC10&amp;$D$5&amp;$E$5</f>
        <v>W101 BB 14.02.66.xlsb</v>
      </c>
      <c r="N6" s="33" t="str">
        <f t="shared" ref="N6:N16" si="0">$L6&amp;"dcitem."&amp;TEXT($C$3,"MMDD")&amp;".xlsx"</f>
        <v>W101dcitem.0214.xlsx</v>
      </c>
      <c r="O6" s="32" t="s">
        <v>41</v>
      </c>
      <c r="P6" s="32" t="s">
        <v>52</v>
      </c>
      <c r="Q6" s="32" t="s">
        <v>41</v>
      </c>
      <c r="R6" s="34" t="s">
        <v>82</v>
      </c>
      <c r="S6" s="1"/>
      <c r="T6" s="1"/>
      <c r="U6" s="1"/>
      <c r="V6" s="24"/>
      <c r="W6" s="24"/>
      <c r="X6" s="24"/>
      <c r="Y6" s="24"/>
      <c r="Z6" s="24"/>
      <c r="AA6" s="24">
        <v>10</v>
      </c>
      <c r="AB6" s="24" t="str">
        <f>VLOOKUP(DataPageAI3,AA10:AB32,2,0)</f>
        <v>W901</v>
      </c>
      <c r="AC6" s="24" t="str">
        <f>VLOOKUP($AB6,$L$6:$R$17,2,0)</f>
        <v>W901 MC 14.02.66.xlsb</v>
      </c>
      <c r="AD6" s="24" t="str">
        <f>VLOOKUP($AB6,$L$6:$R$17,3,0)</f>
        <v>W901dcitem.0214.xlsx</v>
      </c>
      <c r="AE6" s="24" t="str">
        <f>VLOOKUP($AB6,$L$6:$R$17,4,0)</f>
        <v>DCMC</v>
      </c>
      <c r="AF6" s="24" t="str">
        <f>VLOOKUP($AB6,$L$6:$R$17,4,0)</f>
        <v>DCMC</v>
      </c>
      <c r="AG6" s="24" t="str">
        <f>VLOOKUP($AB6,$L$6:$R$17,6,0)</f>
        <v>MC</v>
      </c>
      <c r="AH6" s="24" t="str">
        <f>VLOOKUP($AB6,$L$6:$R$17,7,0)</f>
        <v>DCMC</v>
      </c>
      <c r="AI6" s="24"/>
      <c r="AJ6" s="24"/>
      <c r="AK6" s="24">
        <f>AA10</f>
        <v>0</v>
      </c>
      <c r="AL6" s="24" t="str">
        <f>P6</f>
        <v xml:space="preserve">W101 BB </v>
      </c>
      <c r="AM6" s="24" t="str">
        <f>M6</f>
        <v>W101 BB 14.02.66.xlsb</v>
      </c>
      <c r="AN6" s="24">
        <f>IF(MAX($AN$5:AN5)=MAX($AK$6:$AK$17),"",AN5+1)</f>
        <v>1</v>
      </c>
      <c r="AO6" t="str">
        <f>IFERROR(VLOOKUP($AN$6:$AN$17,$AK$6:$AM$17,2,0),"")</f>
        <v xml:space="preserve">W121 CB </v>
      </c>
      <c r="AP6" t="str">
        <f>IFERROR(VLOOKUP($AN$6:$AN$17,$AK$6:$AM$17,3,0),"")</f>
        <v>W121 CB 14.02.66.xlsb</v>
      </c>
    </row>
    <row r="7" spans="1:42" ht="30.6" customHeight="1" thickBot="1" x14ac:dyDescent="0.5">
      <c r="A7" s="1"/>
      <c r="B7" s="17" t="s">
        <v>2</v>
      </c>
      <c r="C7" s="42" t="s">
        <v>10</v>
      </c>
      <c r="D7" s="43"/>
      <c r="E7" s="44"/>
      <c r="F7" s="1"/>
      <c r="G7" s="1"/>
      <c r="H7" s="2"/>
      <c r="I7" s="1"/>
      <c r="J7" s="1"/>
      <c r="K7" s="14"/>
      <c r="L7" s="35" t="s">
        <v>18</v>
      </c>
      <c r="M7" s="36" t="str">
        <f>$L7&amp;" "&amp;AC12&amp;$D$5&amp;$E$5</f>
        <v>W121 CB 14.02.66.xlsb</v>
      </c>
      <c r="N7" s="36" t="str">
        <f t="shared" si="0"/>
        <v>W121dcitem.0214.xlsx</v>
      </c>
      <c r="O7" s="35" t="s">
        <v>42</v>
      </c>
      <c r="P7" s="35" t="s">
        <v>53</v>
      </c>
      <c r="Q7" s="35" t="s">
        <v>31</v>
      </c>
      <c r="R7" s="37" t="s">
        <v>42</v>
      </c>
      <c r="S7" s="1"/>
      <c r="T7" s="1"/>
      <c r="U7" s="1"/>
      <c r="V7" s="24"/>
      <c r="W7" s="24"/>
      <c r="X7" s="24"/>
      <c r="Y7" s="24"/>
      <c r="Z7" s="24"/>
      <c r="AA7" s="24">
        <f>MAX(AA10:AA32)</f>
        <v>10</v>
      </c>
      <c r="AB7" s="24"/>
      <c r="AC7" s="24"/>
      <c r="AD7" s="24"/>
      <c r="AE7" s="24"/>
      <c r="AF7" s="24"/>
      <c r="AG7" s="24"/>
      <c r="AH7" s="24"/>
      <c r="AI7" s="24"/>
      <c r="AJ7" s="24"/>
      <c r="AK7" s="24">
        <f>AA12</f>
        <v>1</v>
      </c>
      <c r="AL7" s="24" t="str">
        <f t="shared" ref="AL7:AL17" si="1">P7</f>
        <v xml:space="preserve">W121 CB </v>
      </c>
      <c r="AM7" s="24" t="str">
        <f t="shared" ref="AM7:AM17" si="2">M7</f>
        <v>W121 CB 14.02.66.xlsb</v>
      </c>
      <c r="AN7" s="24">
        <f>IF(MAX($AN$5:AN6)=MAX($AK$6:$AK$17),"",AN6+1)</f>
        <v>2</v>
      </c>
      <c r="AO7" t="str">
        <f t="shared" ref="AO7:AO17" si="3">IFERROR(VLOOKUP($AN$6:$AN$17,$AK$6:$AM$17,2,0),"")</f>
        <v xml:space="preserve">W131 BR </v>
      </c>
      <c r="AP7" t="str">
        <f t="shared" ref="AP7:AP17" si="4">IFERROR(VLOOKUP($AN$6:$AN$17,$AK$6:$AM$17,3,0),"")</f>
        <v>W131 BR 14.02.66.xlsb</v>
      </c>
    </row>
    <row r="8" spans="1:42" ht="30.6" customHeight="1" thickBot="1" x14ac:dyDescent="0.5">
      <c r="A8" s="1"/>
      <c r="B8" s="17" t="s">
        <v>3</v>
      </c>
      <c r="C8" s="42" t="str">
        <f>"D:\ไฟล์สั่ง\DCITEM\DCITEM "&amp;TEXT(C3,"DDMMBB")&amp;"\"</f>
        <v>D:\ไฟล์สั่ง\DCITEM\DCITEM 140266\</v>
      </c>
      <c r="D8" s="43"/>
      <c r="E8" s="43"/>
      <c r="F8" s="43"/>
      <c r="G8" s="44"/>
      <c r="H8" s="2"/>
      <c r="I8" s="1"/>
      <c r="J8" s="1"/>
      <c r="K8" s="14"/>
      <c r="L8" s="35" t="s">
        <v>19</v>
      </c>
      <c r="M8" s="36" t="str">
        <f>$L8&amp;" "&amp;AC14&amp;$D$5&amp;$E$5</f>
        <v>W131 BR 14.02.66.xlsb</v>
      </c>
      <c r="N8" s="36" t="str">
        <f t="shared" si="0"/>
        <v>W131dcitem.0214.xlsx</v>
      </c>
      <c r="O8" s="35" t="s">
        <v>43</v>
      </c>
      <c r="P8" s="35" t="s">
        <v>54</v>
      </c>
      <c r="Q8" s="35" t="s">
        <v>32</v>
      </c>
      <c r="R8" s="37" t="s">
        <v>43</v>
      </c>
      <c r="S8" s="1"/>
      <c r="T8" s="1"/>
      <c r="U8" s="1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>
        <f>AA14</f>
        <v>2</v>
      </c>
      <c r="AL8" s="24" t="str">
        <f t="shared" si="1"/>
        <v xml:space="preserve">W131 BR </v>
      </c>
      <c r="AM8" s="24" t="str">
        <f t="shared" si="2"/>
        <v>W131 BR 14.02.66.xlsb</v>
      </c>
      <c r="AN8" s="24">
        <f>IF(MAX($AN$5:AN7)=MAX($AK$6:$AK$17),"",AN7+1)</f>
        <v>3</v>
      </c>
      <c r="AO8" t="str">
        <f t="shared" si="3"/>
        <v xml:space="preserve">W141 HY </v>
      </c>
      <c r="AP8" t="str">
        <f t="shared" si="4"/>
        <v>W141 HY 14.02.66.xlsb</v>
      </c>
    </row>
    <row r="9" spans="1:42" ht="30.6" customHeight="1" thickBot="1" x14ac:dyDescent="0.5">
      <c r="A9" s="1"/>
      <c r="B9" s="17" t="s">
        <v>4</v>
      </c>
      <c r="C9" s="42" t="str">
        <f>"Order Branch "&amp;TEXT(C3,"[$-1010409]mmm yyyy;@")&amp;E5</f>
        <v>Order Branch Feb 2023.xlsb</v>
      </c>
      <c r="D9" s="43"/>
      <c r="E9" s="43"/>
      <c r="F9" s="43"/>
      <c r="G9" s="44"/>
      <c r="H9" s="2"/>
      <c r="I9" s="1"/>
      <c r="J9" s="1"/>
      <c r="K9" s="14"/>
      <c r="L9" s="35" t="s">
        <v>20</v>
      </c>
      <c r="M9" s="36" t="str">
        <f>$L9&amp;" "&amp;AC16&amp;$D$5&amp;$E$5</f>
        <v>W141 HY 14.02.66.xlsb</v>
      </c>
      <c r="N9" s="36" t="str">
        <f t="shared" si="0"/>
        <v>W141dcitem.0214.xlsx</v>
      </c>
      <c r="O9" s="35" t="s">
        <v>44</v>
      </c>
      <c r="P9" s="35" t="s">
        <v>55</v>
      </c>
      <c r="Q9" s="35" t="s">
        <v>33</v>
      </c>
      <c r="R9" s="37" t="s">
        <v>44</v>
      </c>
      <c r="S9" s="1"/>
      <c r="T9" s="1"/>
      <c r="U9" s="1"/>
      <c r="V9" s="24"/>
      <c r="W9" s="24"/>
      <c r="X9" s="24"/>
      <c r="Y9" s="24"/>
      <c r="Z9" s="24"/>
      <c r="AA9" s="24">
        <f>COUNTIF(AF10:AF20,"")</f>
        <v>1</v>
      </c>
      <c r="AB9" s="24"/>
      <c r="AC9" s="24"/>
      <c r="AD9" s="24"/>
      <c r="AE9" s="24"/>
      <c r="AF9" s="24"/>
      <c r="AG9" s="24"/>
      <c r="AH9" s="24"/>
      <c r="AI9" s="24"/>
      <c r="AJ9" s="24"/>
      <c r="AK9" s="24">
        <f>AA16</f>
        <v>3</v>
      </c>
      <c r="AL9" s="24" t="str">
        <f t="shared" si="1"/>
        <v xml:space="preserve">W141 HY </v>
      </c>
      <c r="AM9" s="24" t="str">
        <f t="shared" si="2"/>
        <v>W141 HY 14.02.66.xlsb</v>
      </c>
      <c r="AN9" s="24">
        <f>IF(MAX($AN$5:AN8)=MAX($AK$6:$AK$17),"",AN8+1)</f>
        <v>4</v>
      </c>
      <c r="AO9" t="str">
        <f t="shared" si="3"/>
        <v xml:space="preserve">W151 NS </v>
      </c>
      <c r="AP9" t="str">
        <f t="shared" si="4"/>
        <v>W151 NS 14.02.66.xlsb</v>
      </c>
    </row>
    <row r="10" spans="1:42" ht="30.6" customHeight="1" thickBo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4"/>
      <c r="L10" s="35" t="s">
        <v>21</v>
      </c>
      <c r="M10" s="36" t="str">
        <f>$L10&amp;" "&amp;AC18&amp;$D$5&amp;$E$5</f>
        <v>W151 NS 14.02.66.xlsb</v>
      </c>
      <c r="N10" s="36" t="str">
        <f t="shared" si="0"/>
        <v>W151dcitem.0214.xlsx</v>
      </c>
      <c r="O10" s="35" t="s">
        <v>45</v>
      </c>
      <c r="P10" s="35" t="s">
        <v>56</v>
      </c>
      <c r="Q10" s="35" t="s">
        <v>34</v>
      </c>
      <c r="R10" s="37" t="s">
        <v>45</v>
      </c>
      <c r="S10" s="1"/>
      <c r="T10" s="1"/>
      <c r="U10" s="1"/>
      <c r="V10" s="24"/>
      <c r="W10" s="24"/>
      <c r="X10" s="24"/>
      <c r="Y10" s="24"/>
      <c r="Z10" s="24"/>
      <c r="AA10" s="24">
        <f>IF(AD10=TRUE,COUNTIF($AD10:AD$11,TRUE),0)</f>
        <v>0</v>
      </c>
      <c r="AB10" s="24" t="str">
        <f>L6</f>
        <v>W101</v>
      </c>
      <c r="AC10" s="24" t="s">
        <v>30</v>
      </c>
      <c r="AD10" s="24" t="b">
        <v>0</v>
      </c>
      <c r="AE10" s="24">
        <v>1</v>
      </c>
      <c r="AF10" s="24" t="str">
        <f t="shared" ref="AF10:AF20" si="5">IFERROR(INDEX($AA$10:$AB$32,MATCH($AE10,$AA$10:$AA$32,0),2,1),"")</f>
        <v>W121</v>
      </c>
      <c r="AG10" s="24"/>
      <c r="AH10" s="24"/>
      <c r="AI10" s="24"/>
      <c r="AJ10" s="24"/>
      <c r="AK10" s="24">
        <f>AA18</f>
        <v>4</v>
      </c>
      <c r="AL10" s="24" t="str">
        <f t="shared" si="1"/>
        <v xml:space="preserve">W151 NS </v>
      </c>
      <c r="AM10" s="24" t="str">
        <f t="shared" si="2"/>
        <v>W151 NS 14.02.66.xlsb</v>
      </c>
      <c r="AN10" s="24">
        <f>IF(MAX($AN$5:AN9)=MAX($AK$6:$AK$17),"",AN9+1)</f>
        <v>5</v>
      </c>
      <c r="AO10" t="str">
        <f t="shared" si="3"/>
        <v xml:space="preserve">W161 AC </v>
      </c>
      <c r="AP10" t="str">
        <f t="shared" si="4"/>
        <v>W161 AC 14.02.66.xlsb</v>
      </c>
    </row>
    <row r="11" spans="1:42" ht="30.6" customHeight="1" thickBot="1" x14ac:dyDescent="0.5">
      <c r="A11" s="1"/>
      <c r="B11" s="17" t="s">
        <v>7</v>
      </c>
      <c r="C11" s="42" t="str">
        <f>"D:\ไฟล์สั่ง\XPONS\XPONS "&amp;TEXT(C3,"DDMMBB")&amp;"\"</f>
        <v>D:\ไฟล์สั่ง\XPONS\XPONS 140266\</v>
      </c>
      <c r="D11" s="43"/>
      <c r="E11" s="43"/>
      <c r="F11" s="43"/>
      <c r="G11" s="44"/>
      <c r="H11" s="1"/>
      <c r="I11" s="1"/>
      <c r="J11" s="1"/>
      <c r="K11" s="14"/>
      <c r="L11" s="35" t="s">
        <v>22</v>
      </c>
      <c r="M11" s="36" t="str">
        <f>$L11&amp;" "&amp;AC20&amp;$D$5&amp;$E$5</f>
        <v>W161 AC 14.02.66.xlsb</v>
      </c>
      <c r="N11" s="36" t="str">
        <f t="shared" si="0"/>
        <v>W161dcitem.0214.xlsx</v>
      </c>
      <c r="O11" s="35" t="s">
        <v>46</v>
      </c>
      <c r="P11" s="35" t="s">
        <v>57</v>
      </c>
      <c r="Q11" s="35" t="s">
        <v>35</v>
      </c>
      <c r="R11" s="37" t="s">
        <v>46</v>
      </c>
      <c r="S11" s="1"/>
      <c r="T11" s="1"/>
      <c r="U11" s="1"/>
      <c r="V11" s="24"/>
      <c r="W11" s="24"/>
      <c r="X11" s="24"/>
      <c r="Y11" s="24"/>
      <c r="Z11" s="24"/>
      <c r="AA11" s="24"/>
      <c r="AB11" s="24"/>
      <c r="AC11" s="24"/>
      <c r="AD11" s="24"/>
      <c r="AE11" s="24">
        <v>2</v>
      </c>
      <c r="AF11" s="24" t="str">
        <f t="shared" si="5"/>
        <v>W131</v>
      </c>
      <c r="AG11" s="24"/>
      <c r="AH11" s="24"/>
      <c r="AI11" s="24"/>
      <c r="AJ11" s="24"/>
      <c r="AK11" s="24">
        <f>AA20</f>
        <v>5</v>
      </c>
      <c r="AL11" s="24" t="str">
        <f t="shared" si="1"/>
        <v xml:space="preserve">W161 AC </v>
      </c>
      <c r="AM11" s="24" t="str">
        <f t="shared" si="2"/>
        <v>W161 AC 14.02.66.xlsb</v>
      </c>
      <c r="AN11" s="24">
        <f>IF(MAX($AN$5:AN10)=MAX($AK$6:$AK$17),"",AN10+1)</f>
        <v>6</v>
      </c>
      <c r="AO11" t="str">
        <f t="shared" si="3"/>
        <v xml:space="preserve">W301 LP </v>
      </c>
      <c r="AP11" t="str">
        <f t="shared" si="4"/>
        <v>W301 LP 14.02.66.xlsb</v>
      </c>
    </row>
    <row r="12" spans="1:42" ht="30.6" customHeight="1" thickBot="1" x14ac:dyDescent="0.45">
      <c r="A12" s="1"/>
      <c r="B12" s="18" t="s">
        <v>78</v>
      </c>
      <c r="C12" s="9" t="s">
        <v>28</v>
      </c>
      <c r="D12" s="1"/>
      <c r="E12" s="1"/>
      <c r="F12" s="1"/>
      <c r="G12" s="1"/>
      <c r="H12" s="1"/>
      <c r="I12" s="1"/>
      <c r="J12" s="1"/>
      <c r="K12" s="14"/>
      <c r="L12" s="35" t="s">
        <v>23</v>
      </c>
      <c r="M12" s="36" t="str">
        <f>$L12&amp;" "&amp;AC22&amp;$D$5&amp;$E$5</f>
        <v>W301 LP 14.02.66.xlsb</v>
      </c>
      <c r="N12" s="36" t="str">
        <f t="shared" si="0"/>
        <v>W301dcitem.0214.xlsx</v>
      </c>
      <c r="O12" s="35" t="s">
        <v>47</v>
      </c>
      <c r="P12" s="35" t="s">
        <v>58</v>
      </c>
      <c r="Q12" s="35" t="s">
        <v>36</v>
      </c>
      <c r="R12" s="37" t="s">
        <v>47</v>
      </c>
      <c r="S12" s="1"/>
      <c r="T12" s="1"/>
      <c r="U12" s="1"/>
      <c r="V12" s="24"/>
      <c r="W12" s="24"/>
      <c r="X12" s="24"/>
      <c r="Y12" s="24"/>
      <c r="Z12" s="24"/>
      <c r="AA12" s="24">
        <f>IF(AD12=TRUE,COUNTIF($AD$10:AD13,TRUE),0)</f>
        <v>1</v>
      </c>
      <c r="AB12" s="24" t="str">
        <f>L7</f>
        <v>W121</v>
      </c>
      <c r="AC12" s="24" t="s">
        <v>31</v>
      </c>
      <c r="AD12" s="24" t="b">
        <v>1</v>
      </c>
      <c r="AE12" s="24">
        <v>3</v>
      </c>
      <c r="AF12" s="24" t="str">
        <f t="shared" si="5"/>
        <v>W141</v>
      </c>
      <c r="AG12" s="24"/>
      <c r="AH12" s="24"/>
      <c r="AI12" s="24"/>
      <c r="AJ12" s="24"/>
      <c r="AK12" s="24">
        <f>AA22</f>
        <v>6</v>
      </c>
      <c r="AL12" s="24" t="str">
        <f t="shared" si="1"/>
        <v xml:space="preserve">W301 LP </v>
      </c>
      <c r="AM12" s="24" t="str">
        <f t="shared" si="2"/>
        <v>W301 LP 14.02.66.xlsb</v>
      </c>
      <c r="AN12" s="24">
        <f>IF(MAX($AN$5:AN11)=MAX($AK$6:$AK$17),"",AN11+1)</f>
        <v>7</v>
      </c>
      <c r="AO12" t="str">
        <f t="shared" si="3"/>
        <v xml:space="preserve">W401 ST </v>
      </c>
      <c r="AP12" t="str">
        <f t="shared" si="4"/>
        <v>W401 ST 14.02.66.xlsb</v>
      </c>
    </row>
    <row r="13" spans="1:42" ht="30.6" customHeight="1" thickBo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4"/>
      <c r="L13" s="35" t="s">
        <v>24</v>
      </c>
      <c r="M13" s="36" t="str">
        <f>$L13&amp;" "&amp;AC24&amp;$D$5&amp;$E$5</f>
        <v>W401 ST 14.02.66.xlsb</v>
      </c>
      <c r="N13" s="36" t="str">
        <f t="shared" si="0"/>
        <v>W401dcitem.0214.xlsx</v>
      </c>
      <c r="O13" s="35" t="s">
        <v>48</v>
      </c>
      <c r="P13" s="35" t="s">
        <v>59</v>
      </c>
      <c r="Q13" s="35" t="s">
        <v>37</v>
      </c>
      <c r="R13" s="37" t="s">
        <v>48</v>
      </c>
      <c r="S13" s="1"/>
      <c r="T13" s="1"/>
      <c r="U13" s="1"/>
      <c r="V13" s="24"/>
      <c r="W13" s="24"/>
      <c r="X13" s="24"/>
      <c r="Y13" s="24"/>
      <c r="Z13" s="24"/>
      <c r="AA13" s="24"/>
      <c r="AB13" s="24"/>
      <c r="AC13" s="24"/>
      <c r="AD13" s="24"/>
      <c r="AE13" s="24">
        <v>4</v>
      </c>
      <c r="AF13" s="24" t="str">
        <f t="shared" si="5"/>
        <v>W151</v>
      </c>
      <c r="AG13" s="24"/>
      <c r="AH13" s="24"/>
      <c r="AI13" s="24"/>
      <c r="AJ13" s="24"/>
      <c r="AK13" s="24">
        <f>AA24</f>
        <v>7</v>
      </c>
      <c r="AL13" s="24" t="str">
        <f t="shared" si="1"/>
        <v xml:space="preserve">W401 ST </v>
      </c>
      <c r="AM13" s="24" t="str">
        <f t="shared" si="2"/>
        <v>W401 ST 14.02.66.xlsb</v>
      </c>
      <c r="AN13" s="24">
        <f>IF(MAX($AN$5:AN12)=MAX($AK$6:$AK$17),"",AN12+1)</f>
        <v>8</v>
      </c>
      <c r="AO13" t="str">
        <f t="shared" si="3"/>
        <v xml:space="preserve">W501 SB </v>
      </c>
      <c r="AP13" t="str">
        <f t="shared" si="4"/>
        <v>W501 SB 14.02.66.xlsb</v>
      </c>
    </row>
    <row r="14" spans="1:42" ht="30.6" customHeight="1" thickBot="1" x14ac:dyDescent="0.5">
      <c r="A14" s="1"/>
      <c r="B14" s="17" t="s">
        <v>6</v>
      </c>
      <c r="C14" s="42" t="s">
        <v>87</v>
      </c>
      <c r="D14" s="43"/>
      <c r="E14" s="43"/>
      <c r="F14" s="43"/>
      <c r="G14" s="44"/>
      <c r="H14" s="3"/>
      <c r="I14" s="1"/>
      <c r="J14" s="1"/>
      <c r="K14" s="14"/>
      <c r="L14" s="35" t="s">
        <v>25</v>
      </c>
      <c r="M14" s="36" t="str">
        <f>$L14&amp;" "&amp;AC26&amp;$D$5&amp;$E$5</f>
        <v>W501 SB 14.02.66.xlsb</v>
      </c>
      <c r="N14" s="36" t="str">
        <f t="shared" si="0"/>
        <v>W501dcitem.0214.xlsx</v>
      </c>
      <c r="O14" s="35" t="s">
        <v>49</v>
      </c>
      <c r="P14" s="35" t="s">
        <v>60</v>
      </c>
      <c r="Q14" s="35" t="s">
        <v>49</v>
      </c>
      <c r="R14" s="37" t="s">
        <v>83</v>
      </c>
      <c r="S14" s="1"/>
      <c r="T14" s="1"/>
      <c r="U14" s="1"/>
      <c r="V14" s="24"/>
      <c r="W14" s="24"/>
      <c r="X14" s="24"/>
      <c r="Y14" s="24"/>
      <c r="Z14" s="24"/>
      <c r="AA14" s="24">
        <f>IF(AD14=TRUE,COUNTIF($AD$10:AD15,TRUE),0)</f>
        <v>2</v>
      </c>
      <c r="AB14" s="24" t="str">
        <f>L8</f>
        <v>W131</v>
      </c>
      <c r="AC14" s="24" t="s">
        <v>32</v>
      </c>
      <c r="AD14" s="24" t="b">
        <v>1</v>
      </c>
      <c r="AE14" s="24">
        <v>5</v>
      </c>
      <c r="AF14" s="24" t="str">
        <f t="shared" si="5"/>
        <v>W161</v>
      </c>
      <c r="AG14" s="24"/>
      <c r="AH14" s="24"/>
      <c r="AI14" s="24"/>
      <c r="AJ14" s="24"/>
      <c r="AK14" s="24">
        <f>AA26</f>
        <v>8</v>
      </c>
      <c r="AL14" s="24" t="str">
        <f t="shared" si="1"/>
        <v xml:space="preserve">W501 SB </v>
      </c>
      <c r="AM14" s="24" t="str">
        <f t="shared" si="2"/>
        <v>W501 SB 14.02.66.xlsb</v>
      </c>
      <c r="AN14" s="24">
        <f>IF(MAX($AN$5:AN13)=MAX($AK$6:$AK$17),"",AN13+1)</f>
        <v>9</v>
      </c>
      <c r="AO14" t="str">
        <f t="shared" si="3"/>
        <v xml:space="preserve">W801 KK </v>
      </c>
      <c r="AP14" t="str">
        <f t="shared" si="4"/>
        <v>W801 KK 14.02.66.xlsb</v>
      </c>
    </row>
    <row r="15" spans="1:42" ht="30.6" customHeight="1" thickBot="1" x14ac:dyDescent="0.45">
      <c r="A15" s="1"/>
      <c r="B15" s="18" t="s">
        <v>79</v>
      </c>
      <c r="C15" s="9" t="s">
        <v>81</v>
      </c>
      <c r="D15" s="3"/>
      <c r="E15" s="3"/>
      <c r="F15" s="3"/>
      <c r="G15" s="3"/>
      <c r="H15" s="1"/>
      <c r="I15" s="1"/>
      <c r="J15" s="1"/>
      <c r="K15" s="14"/>
      <c r="L15" s="35" t="s">
        <v>26</v>
      </c>
      <c r="M15" s="36" t="str">
        <f>$L15&amp;" "&amp;AC28&amp;$D$5&amp;$E$5</f>
        <v>W801 KK 14.02.66.xlsb</v>
      </c>
      <c r="N15" s="36" t="str">
        <f t="shared" si="0"/>
        <v>W801dcitem.0214.xlsx</v>
      </c>
      <c r="O15" s="35" t="s">
        <v>50</v>
      </c>
      <c r="P15" s="35" t="s">
        <v>61</v>
      </c>
      <c r="Q15" s="35" t="s">
        <v>39</v>
      </c>
      <c r="R15" s="37" t="s">
        <v>50</v>
      </c>
      <c r="S15" s="1"/>
      <c r="T15" s="1"/>
      <c r="U15" s="1"/>
      <c r="V15" s="24"/>
      <c r="W15" s="24"/>
      <c r="X15" s="24"/>
      <c r="Y15" s="24"/>
      <c r="Z15" s="24"/>
      <c r="AA15" s="24"/>
      <c r="AB15" s="24"/>
      <c r="AC15" s="24"/>
      <c r="AD15" s="24"/>
      <c r="AE15" s="24">
        <v>6</v>
      </c>
      <c r="AF15" s="24" t="str">
        <f t="shared" si="5"/>
        <v>W301</v>
      </c>
      <c r="AG15" s="24"/>
      <c r="AH15" s="24"/>
      <c r="AI15" s="24"/>
      <c r="AJ15" s="24"/>
      <c r="AK15" s="24">
        <f>AA28</f>
        <v>9</v>
      </c>
      <c r="AL15" s="24" t="str">
        <f t="shared" si="1"/>
        <v xml:space="preserve">W801 KK </v>
      </c>
      <c r="AM15" s="24" t="str">
        <f t="shared" si="2"/>
        <v>W801 KK 14.02.66.xlsb</v>
      </c>
      <c r="AN15" s="24">
        <f>IF(MAX($AN$5:AN14)=MAX($AK$6:$AK$17),"",AN14+1)</f>
        <v>10</v>
      </c>
      <c r="AO15" t="str">
        <f t="shared" si="3"/>
        <v xml:space="preserve">W901 MC </v>
      </c>
      <c r="AP15" t="str">
        <f t="shared" si="4"/>
        <v>W901 MC 14.02.66.xlsb</v>
      </c>
    </row>
    <row r="16" spans="1:42" ht="30.6" customHeight="1" thickBo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4"/>
      <c r="L16" s="35" t="s">
        <v>27</v>
      </c>
      <c r="M16" s="36" t="str">
        <f>$L16&amp;" "&amp;AC30&amp;$D$5&amp;$E$5</f>
        <v>W901 MC 14.02.66.xlsb</v>
      </c>
      <c r="N16" s="36" t="str">
        <f t="shared" si="0"/>
        <v>W901dcitem.0214.xlsx</v>
      </c>
      <c r="O16" s="35" t="s">
        <v>51</v>
      </c>
      <c r="P16" s="35" t="s">
        <v>62</v>
      </c>
      <c r="Q16" s="35" t="s">
        <v>40</v>
      </c>
      <c r="R16" s="37" t="s">
        <v>51</v>
      </c>
      <c r="S16" s="1"/>
      <c r="T16" s="1"/>
      <c r="U16" s="1"/>
      <c r="V16" s="24"/>
      <c r="W16" s="24"/>
      <c r="X16" s="24"/>
      <c r="Y16" s="24"/>
      <c r="Z16" s="24"/>
      <c r="AA16" s="24">
        <f>IF(AD16=TRUE,COUNTIF($AD$10:AD17,TRUE),0)</f>
        <v>3</v>
      </c>
      <c r="AB16" s="24" t="str">
        <f>L9</f>
        <v>W141</v>
      </c>
      <c r="AC16" s="24" t="s">
        <v>33</v>
      </c>
      <c r="AD16" s="24" t="b">
        <v>1</v>
      </c>
      <c r="AE16" s="24">
        <v>7</v>
      </c>
      <c r="AF16" s="24" t="str">
        <f t="shared" si="5"/>
        <v>W401</v>
      </c>
      <c r="AG16" s="24"/>
      <c r="AH16" s="24"/>
      <c r="AI16" s="24"/>
      <c r="AJ16" s="24"/>
      <c r="AK16" s="24">
        <f>AA30</f>
        <v>10</v>
      </c>
      <c r="AL16" s="24" t="str">
        <f t="shared" si="1"/>
        <v xml:space="preserve">W901 MC </v>
      </c>
      <c r="AM16" s="24" t="str">
        <f t="shared" si="2"/>
        <v>W901 MC 14.02.66.xlsb</v>
      </c>
      <c r="AN16" s="24" t="str">
        <f>IF(MAX($AN$5:AN15)=MAX($AK$6:$AK$17),"",AN15+1)</f>
        <v/>
      </c>
      <c r="AO16" t="str">
        <f t="shared" si="3"/>
        <v/>
      </c>
      <c r="AP16" t="str">
        <f t="shared" si="4"/>
        <v/>
      </c>
    </row>
    <row r="17" spans="1:42" ht="30.6" customHeight="1" thickBot="1" x14ac:dyDescent="0.5">
      <c r="A17" s="1"/>
      <c r="B17" s="17" t="s">
        <v>8</v>
      </c>
      <c r="C17" s="42" t="s">
        <v>88</v>
      </c>
      <c r="D17" s="43"/>
      <c r="E17" s="43"/>
      <c r="F17" s="43"/>
      <c r="G17" s="44"/>
      <c r="H17" s="4"/>
      <c r="I17" s="1"/>
      <c r="J17" s="1"/>
      <c r="K17" s="15"/>
      <c r="L17" s="38"/>
      <c r="M17" s="39"/>
      <c r="N17" s="39"/>
      <c r="O17" s="38"/>
      <c r="P17" s="38"/>
      <c r="Q17" s="38"/>
      <c r="R17" s="40"/>
      <c r="S17" s="1"/>
      <c r="T17" s="1"/>
      <c r="U17" s="1"/>
      <c r="V17" s="24"/>
      <c r="W17" s="24"/>
      <c r="X17" s="24"/>
      <c r="Y17" s="24"/>
      <c r="Z17" s="24"/>
      <c r="AA17" s="24"/>
      <c r="AB17" s="24"/>
      <c r="AC17" s="24"/>
      <c r="AD17" s="24"/>
      <c r="AE17" s="24">
        <v>8</v>
      </c>
      <c r="AF17" s="24" t="str">
        <f t="shared" si="5"/>
        <v>W501</v>
      </c>
      <c r="AG17" s="24"/>
      <c r="AH17" s="24"/>
      <c r="AI17" s="24"/>
      <c r="AJ17" s="24"/>
      <c r="AK17" s="24">
        <f>AA32</f>
        <v>0</v>
      </c>
      <c r="AL17" s="24">
        <f t="shared" si="1"/>
        <v>0</v>
      </c>
      <c r="AM17" s="24">
        <f t="shared" si="2"/>
        <v>0</v>
      </c>
      <c r="AN17" s="24" t="str">
        <f>IF(MAX($AN$5:AN16)=MAX($AK$6:$AK$17),"",AN16+1)</f>
        <v/>
      </c>
      <c r="AO17" t="str">
        <f t="shared" si="3"/>
        <v/>
      </c>
      <c r="AP17" t="str">
        <f t="shared" si="4"/>
        <v/>
      </c>
    </row>
    <row r="18" spans="1:42" ht="30.6" customHeight="1" thickBot="1" x14ac:dyDescent="0.45">
      <c r="A18" s="1"/>
      <c r="B18" s="18" t="s">
        <v>80</v>
      </c>
      <c r="C18" s="10" t="s">
        <v>70</v>
      </c>
      <c r="D18" s="1"/>
      <c r="E18" s="1"/>
      <c r="F18" s="4"/>
      <c r="G18" s="4"/>
      <c r="H18" s="1"/>
      <c r="I18" s="1"/>
      <c r="J18" s="1"/>
      <c r="K18" s="1"/>
      <c r="L18" s="1"/>
      <c r="M18" s="1"/>
      <c r="N18" s="1"/>
      <c r="O18" s="1"/>
      <c r="P18" s="1"/>
      <c r="Q18" s="1"/>
      <c r="R18" s="1" t="s">
        <v>85</v>
      </c>
      <c r="S18" s="1"/>
      <c r="T18" s="1"/>
      <c r="U18" s="1"/>
      <c r="V18" s="24"/>
      <c r="W18" s="24"/>
      <c r="X18" s="24"/>
      <c r="Y18" s="24"/>
      <c r="Z18" s="24"/>
      <c r="AA18" s="24">
        <f>IF(AD18=TRUE,COUNTIF($AD$10:AD19,TRUE),0)</f>
        <v>4</v>
      </c>
      <c r="AB18" s="24" t="str">
        <f>L10</f>
        <v>W151</v>
      </c>
      <c r="AC18" s="24" t="s">
        <v>34</v>
      </c>
      <c r="AD18" s="24" t="b">
        <v>1</v>
      </c>
      <c r="AE18" s="24">
        <v>9</v>
      </c>
      <c r="AF18" s="24" t="str">
        <f t="shared" si="5"/>
        <v>W801</v>
      </c>
      <c r="AG18" s="24"/>
      <c r="AH18" s="24"/>
      <c r="AI18" s="24"/>
      <c r="AJ18" s="24"/>
      <c r="AK18" s="24"/>
    </row>
    <row r="19" spans="1:42" ht="30.6" customHeight="1" thickBot="1" x14ac:dyDescent="0.45">
      <c r="A19" s="1"/>
      <c r="B19" s="1"/>
      <c r="C19" s="1"/>
      <c r="D19" s="1"/>
      <c r="E19" s="1"/>
      <c r="F19" s="1"/>
      <c r="G19" s="1"/>
      <c r="H19" s="5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24"/>
      <c r="W19" s="24"/>
      <c r="X19" s="24"/>
      <c r="Y19" s="24"/>
      <c r="Z19" s="24"/>
      <c r="AA19" s="24"/>
      <c r="AB19" s="24"/>
      <c r="AC19" s="24"/>
      <c r="AD19" s="24"/>
      <c r="AE19" s="24">
        <v>10</v>
      </c>
      <c r="AF19" s="24" t="str">
        <f t="shared" si="5"/>
        <v>W901</v>
      </c>
      <c r="AG19" s="24"/>
      <c r="AH19" s="24"/>
      <c r="AI19" s="24"/>
      <c r="AJ19" s="24"/>
      <c r="AK19" s="24"/>
    </row>
    <row r="20" spans="1:42" ht="30.6" customHeight="1" thickBot="1" x14ac:dyDescent="0.5">
      <c r="A20" s="1"/>
      <c r="B20" s="17" t="s">
        <v>11</v>
      </c>
      <c r="C20" s="11">
        <v>44944</v>
      </c>
      <c r="D20" s="4"/>
      <c r="E20" s="4"/>
      <c r="F20" s="5"/>
      <c r="G20" s="5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4"/>
      <c r="W20" s="24"/>
      <c r="X20" s="24"/>
      <c r="Y20" s="24"/>
      <c r="Z20" s="24"/>
      <c r="AA20" s="24">
        <f>IF(AD20=TRUE,COUNTIF($AD$10:AD21,TRUE),0)</f>
        <v>5</v>
      </c>
      <c r="AB20" s="24" t="str">
        <f>L11</f>
        <v>W161</v>
      </c>
      <c r="AC20" s="24" t="s">
        <v>35</v>
      </c>
      <c r="AD20" s="24" t="b">
        <v>1</v>
      </c>
      <c r="AE20" s="24">
        <v>11</v>
      </c>
      <c r="AF20" s="24" t="str">
        <f t="shared" si="5"/>
        <v/>
      </c>
      <c r="AG20" s="24"/>
      <c r="AH20" s="24"/>
      <c r="AI20" s="24"/>
      <c r="AJ20" s="24"/>
      <c r="AK20" s="24"/>
    </row>
    <row r="21" spans="1:42" ht="30.6" customHeight="1" thickBot="1" x14ac:dyDescent="0.5">
      <c r="A21" s="1"/>
      <c r="B21" s="17" t="s">
        <v>5</v>
      </c>
      <c r="C21" s="42" t="s">
        <v>86</v>
      </c>
      <c r="D21" s="43"/>
      <c r="E21" s="43"/>
      <c r="F21" s="43"/>
      <c r="G21" s="44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</row>
    <row r="22" spans="1:42" ht="28.9" customHeight="1" thickBot="1" x14ac:dyDescent="0.45">
      <c r="A22" s="1"/>
      <c r="B22" s="18" t="s">
        <v>71</v>
      </c>
      <c r="C22" s="12" t="s">
        <v>72</v>
      </c>
      <c r="D22" s="12" t="s">
        <v>73</v>
      </c>
      <c r="E22" s="12" t="s">
        <v>74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4"/>
      <c r="W22" s="24"/>
      <c r="X22" s="24"/>
      <c r="Y22" s="24"/>
      <c r="Z22" s="24"/>
      <c r="AA22" s="24">
        <f>IF(AD22=TRUE,COUNTIF($AD$10:AD23,TRUE),0)</f>
        <v>6</v>
      </c>
      <c r="AB22" s="24" t="str">
        <f>L12</f>
        <v>W301</v>
      </c>
      <c r="AC22" s="24" t="s">
        <v>36</v>
      </c>
      <c r="AD22" s="24" t="b">
        <v>1</v>
      </c>
      <c r="AE22" s="24"/>
      <c r="AF22" s="24"/>
      <c r="AG22" s="24"/>
      <c r="AH22" s="24"/>
      <c r="AI22" s="24"/>
      <c r="AJ22" s="24"/>
      <c r="AK22" s="24"/>
    </row>
    <row r="23" spans="1:42" ht="15" x14ac:dyDescent="0.2">
      <c r="A23" s="1"/>
      <c r="B23" s="1"/>
      <c r="C23" s="6" t="s">
        <v>75</v>
      </c>
      <c r="D23" s="6" t="s">
        <v>76</v>
      </c>
      <c r="E23" s="6" t="s">
        <v>77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</row>
    <row r="24" spans="1:42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4"/>
      <c r="W24" s="24"/>
      <c r="X24" s="24"/>
      <c r="Y24" s="24"/>
      <c r="Z24" s="24"/>
      <c r="AA24" s="24">
        <f>IF(AD24=TRUE,COUNTIF($AD$10:AD25,TRUE),0)</f>
        <v>7</v>
      </c>
      <c r="AB24" s="24" t="str">
        <f>L13</f>
        <v>W401</v>
      </c>
      <c r="AC24" s="24" t="s">
        <v>37</v>
      </c>
      <c r="AD24" s="24" t="b">
        <v>1</v>
      </c>
      <c r="AE24" s="24"/>
      <c r="AF24" s="24"/>
      <c r="AG24" s="24"/>
      <c r="AH24" s="24"/>
      <c r="AI24" s="24"/>
      <c r="AJ24" s="24"/>
      <c r="AK24" s="24"/>
    </row>
    <row r="25" spans="1:42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</row>
    <row r="26" spans="1:42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4"/>
      <c r="W26" s="24"/>
      <c r="X26" s="24"/>
      <c r="Y26" s="24"/>
      <c r="Z26" s="24"/>
      <c r="AA26" s="24">
        <f>IF(AD26=TRUE,COUNTIF($AD$10:AD27,TRUE),0)</f>
        <v>8</v>
      </c>
      <c r="AB26" s="24" t="str">
        <f>L14</f>
        <v>W501</v>
      </c>
      <c r="AC26" s="24" t="s">
        <v>38</v>
      </c>
      <c r="AD26" s="24" t="b">
        <v>1</v>
      </c>
      <c r="AE26" s="24"/>
      <c r="AF26" s="24"/>
      <c r="AG26" s="24"/>
      <c r="AH26" s="24"/>
      <c r="AI26" s="24"/>
      <c r="AJ26" s="24"/>
      <c r="AK26" s="24"/>
    </row>
    <row r="27" spans="1:42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</row>
    <row r="28" spans="1:42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4"/>
      <c r="W28" s="24"/>
      <c r="X28" s="24"/>
      <c r="Y28" s="24"/>
      <c r="Z28" s="24"/>
      <c r="AA28" s="24">
        <f>IF(AD28=TRUE,COUNTIF($AD$10:AD29,TRUE),0)</f>
        <v>9</v>
      </c>
      <c r="AB28" s="24" t="str">
        <f>L15</f>
        <v>W801</v>
      </c>
      <c r="AC28" s="24" t="s">
        <v>39</v>
      </c>
      <c r="AD28" s="24" t="b">
        <v>1</v>
      </c>
      <c r="AE28" s="24"/>
      <c r="AF28" s="24"/>
      <c r="AG28" s="24"/>
      <c r="AH28" s="24"/>
      <c r="AI28" s="24"/>
      <c r="AJ28" s="24"/>
      <c r="AK28" s="24"/>
    </row>
    <row r="29" spans="1:42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</row>
    <row r="30" spans="1:42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4"/>
      <c r="W30" s="24"/>
      <c r="X30" s="24"/>
      <c r="Y30" s="24"/>
      <c r="Z30" s="24"/>
      <c r="AA30" s="24">
        <f>IF(AD30=TRUE,COUNTIF($AD$10:AD31,TRUE),0)</f>
        <v>10</v>
      </c>
      <c r="AB30" s="24" t="str">
        <f>L16</f>
        <v>W901</v>
      </c>
      <c r="AC30" s="24" t="s">
        <v>40</v>
      </c>
      <c r="AD30" s="24" t="b">
        <v>1</v>
      </c>
      <c r="AE30" s="24"/>
      <c r="AF30" s="24"/>
      <c r="AG30" s="24"/>
      <c r="AH30" s="24"/>
      <c r="AI30" s="24"/>
      <c r="AJ30" s="24"/>
      <c r="AK30" s="24"/>
    </row>
    <row r="31" spans="1:42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</row>
    <row r="32" spans="1:42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4"/>
      <c r="W32" s="24"/>
      <c r="X32" s="24"/>
      <c r="Y32" s="24"/>
      <c r="Z32" s="24"/>
      <c r="AA32" s="24">
        <f>IF(AD32=TRUE,COUNTIF($AD$10:AD33,TRUE),0)</f>
        <v>0</v>
      </c>
      <c r="AB32" s="24">
        <f>L17</f>
        <v>0</v>
      </c>
      <c r="AC32" s="24" t="s">
        <v>84</v>
      </c>
      <c r="AD32" s="24" t="b">
        <v>0</v>
      </c>
      <c r="AE32" s="24"/>
      <c r="AF32" s="24"/>
      <c r="AG32" s="24"/>
      <c r="AH32" s="24"/>
      <c r="AI32" s="24"/>
      <c r="AJ32" s="24"/>
      <c r="AK32" s="24"/>
    </row>
    <row r="33" spans="1:37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</row>
    <row r="34" spans="1:37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</row>
    <row r="35" spans="1:37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</row>
    <row r="36" spans="1:37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</row>
    <row r="37" spans="1:37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</row>
    <row r="38" spans="1:37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</row>
    <row r="39" spans="1:37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</row>
    <row r="40" spans="1:37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</row>
    <row r="41" spans="1:37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</row>
    <row r="42" spans="1:37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</row>
    <row r="43" spans="1:37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</row>
    <row r="44" spans="1:37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</row>
    <row r="45" spans="1:37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</row>
    <row r="46" spans="1:37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</row>
    <row r="47" spans="1:37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</row>
  </sheetData>
  <mergeCells count="8">
    <mergeCell ref="C21:G21"/>
    <mergeCell ref="C8:G8"/>
    <mergeCell ref="C9:G9"/>
    <mergeCell ref="C7:E7"/>
    <mergeCell ref="A1:U1"/>
    <mergeCell ref="C11:G11"/>
    <mergeCell ref="C14:G14"/>
    <mergeCell ref="C17:G17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Check Box 12">
              <controlPr defaultSize="0" autoFill="0" autoLine="0" autoPict="0" macro="[0]!SelectAll_Click">
                <anchor moveWithCells="1">
                  <from>
                    <xdr:col>10</xdr:col>
                    <xdr:colOff>781050</xdr:colOff>
                    <xdr:row>4</xdr:row>
                    <xdr:rowOff>95250</xdr:rowOff>
                  </from>
                  <to>
                    <xdr:col>11</xdr:col>
                    <xdr:colOff>161925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Check Box 13">
              <controlPr defaultSize="0" autoFill="0" autoLine="0" autoPict="0">
                <anchor moveWithCells="1">
                  <from>
                    <xdr:col>10</xdr:col>
                    <xdr:colOff>781050</xdr:colOff>
                    <xdr:row>5</xdr:row>
                    <xdr:rowOff>104775</xdr:rowOff>
                  </from>
                  <to>
                    <xdr:col>11</xdr:col>
                    <xdr:colOff>161925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Check Box 14">
              <controlPr defaultSize="0" autoFill="0" autoLine="0" autoPict="0">
                <anchor moveWithCells="1">
                  <from>
                    <xdr:col>10</xdr:col>
                    <xdr:colOff>781050</xdr:colOff>
                    <xdr:row>6</xdr:row>
                    <xdr:rowOff>76200</xdr:rowOff>
                  </from>
                  <to>
                    <xdr:col>11</xdr:col>
                    <xdr:colOff>161925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Check Box 15">
              <controlPr defaultSize="0" autoFill="0" autoLine="0" autoPict="0">
                <anchor moveWithCells="1">
                  <from>
                    <xdr:col>10</xdr:col>
                    <xdr:colOff>781050</xdr:colOff>
                    <xdr:row>7</xdr:row>
                    <xdr:rowOff>76200</xdr:rowOff>
                  </from>
                  <to>
                    <xdr:col>11</xdr:col>
                    <xdr:colOff>161925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Check Box 16">
              <controlPr defaultSize="0" autoFill="0" autoLine="0" autoPict="0">
                <anchor moveWithCells="1">
                  <from>
                    <xdr:col>10</xdr:col>
                    <xdr:colOff>781050</xdr:colOff>
                    <xdr:row>8</xdr:row>
                    <xdr:rowOff>95250</xdr:rowOff>
                  </from>
                  <to>
                    <xdr:col>11</xdr:col>
                    <xdr:colOff>161925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Check Box 18">
              <controlPr defaultSize="0" autoFill="0" autoLine="0" autoPict="0">
                <anchor moveWithCells="1">
                  <from>
                    <xdr:col>10</xdr:col>
                    <xdr:colOff>781050</xdr:colOff>
                    <xdr:row>10</xdr:row>
                    <xdr:rowOff>76200</xdr:rowOff>
                  </from>
                  <to>
                    <xdr:col>11</xdr:col>
                    <xdr:colOff>161925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Check Box 19">
              <controlPr defaultSize="0" autoFill="0" autoLine="0" autoPict="0">
                <anchor moveWithCells="1">
                  <from>
                    <xdr:col>10</xdr:col>
                    <xdr:colOff>781050</xdr:colOff>
                    <xdr:row>11</xdr:row>
                    <xdr:rowOff>57150</xdr:rowOff>
                  </from>
                  <to>
                    <xdr:col>11</xdr:col>
                    <xdr:colOff>161925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Check Box 20">
              <controlPr defaultSize="0" autoFill="0" autoLine="0" autoPict="0">
                <anchor moveWithCells="1">
                  <from>
                    <xdr:col>10</xdr:col>
                    <xdr:colOff>781050</xdr:colOff>
                    <xdr:row>13</xdr:row>
                    <xdr:rowOff>95250</xdr:rowOff>
                  </from>
                  <to>
                    <xdr:col>11</xdr:col>
                    <xdr:colOff>161925</xdr:colOff>
                    <xdr:row>13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Check Box 21">
              <controlPr defaultSize="0" autoFill="0" autoLine="0" autoPict="0">
                <anchor moveWithCells="1">
                  <from>
                    <xdr:col>10</xdr:col>
                    <xdr:colOff>781050</xdr:colOff>
                    <xdr:row>12</xdr:row>
                    <xdr:rowOff>76200</xdr:rowOff>
                  </from>
                  <to>
                    <xdr:col>11</xdr:col>
                    <xdr:colOff>161925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Check Box 22">
              <controlPr defaultSize="0" autoFill="0" autoLine="0" autoPict="0">
                <anchor moveWithCells="1">
                  <from>
                    <xdr:col>10</xdr:col>
                    <xdr:colOff>781050</xdr:colOff>
                    <xdr:row>14</xdr:row>
                    <xdr:rowOff>95250</xdr:rowOff>
                  </from>
                  <to>
                    <xdr:col>11</xdr:col>
                    <xdr:colOff>161925</xdr:colOff>
                    <xdr:row>14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Check Box 23">
              <controlPr defaultSize="0" autoFill="0" autoLine="0" autoPict="0">
                <anchor moveWithCells="1">
                  <from>
                    <xdr:col>10</xdr:col>
                    <xdr:colOff>781050</xdr:colOff>
                    <xdr:row>15</xdr:row>
                    <xdr:rowOff>114300</xdr:rowOff>
                  </from>
                  <to>
                    <xdr:col>11</xdr:col>
                    <xdr:colOff>161925</xdr:colOff>
                    <xdr:row>15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5" name="Button 70">
              <controlPr defaultSize="0" print="0" autoFill="0" autoPict="0" macro="[0]!OrderDcitemandXponsUpdate">
                <anchor moveWithCells="1" sizeWithCells="1">
                  <from>
                    <xdr:col>3</xdr:col>
                    <xdr:colOff>200025</xdr:colOff>
                    <xdr:row>2</xdr:row>
                    <xdr:rowOff>47625</xdr:rowOff>
                  </from>
                  <to>
                    <xdr:col>4</xdr:col>
                    <xdr:colOff>333375</xdr:colOff>
                    <xdr:row>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6" name="Button 76">
              <controlPr defaultSize="0" print="0" autoFill="0" autoPict="0" macro="[0]!Rename">
                <anchor moveWithCells="1" sizeWithCells="1">
                  <from>
                    <xdr:col>5</xdr:col>
                    <xdr:colOff>171450</xdr:colOff>
                    <xdr:row>4</xdr:row>
                    <xdr:rowOff>19050</xdr:rowOff>
                  </from>
                  <to>
                    <xdr:col>6</xdr:col>
                    <xdr:colOff>514350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7" name="Button 78">
              <controlPr defaultSize="0" print="0" autoFill="0" autoPict="0" macro="[0]!UpdateTop1000">
                <anchor moveWithCells="1" sizeWithCells="1">
                  <from>
                    <xdr:col>3</xdr:col>
                    <xdr:colOff>323850</xdr:colOff>
                    <xdr:row>14</xdr:row>
                    <xdr:rowOff>47625</xdr:rowOff>
                  </from>
                  <to>
                    <xdr:col>4</xdr:col>
                    <xdr:colOff>28575</xdr:colOff>
                    <xdr:row>14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8" name="Button 79">
              <controlPr defaultSize="0" print="0" autoFill="0" autoPict="0" macro="[0]!UpdatepromotionOffline">
                <anchor moveWithCells="1" sizeWithCells="1">
                  <from>
                    <xdr:col>3</xdr:col>
                    <xdr:colOff>209550</xdr:colOff>
                    <xdr:row>18</xdr:row>
                    <xdr:rowOff>381000</xdr:rowOff>
                  </from>
                  <to>
                    <xdr:col>3</xdr:col>
                    <xdr:colOff>1238250</xdr:colOff>
                    <xdr:row>19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9" name="Button 80">
              <controlPr defaultSize="0" print="0" autoFill="0" autoPict="0" macro="[0]!UpdatepromotionOld">
                <anchor moveWithCells="1" sizeWithCells="1">
                  <from>
                    <xdr:col>4</xdr:col>
                    <xdr:colOff>152400</xdr:colOff>
                    <xdr:row>18</xdr:row>
                    <xdr:rowOff>381000</xdr:rowOff>
                  </from>
                  <to>
                    <xdr:col>5</xdr:col>
                    <xdr:colOff>171450</xdr:colOff>
                    <xdr:row>19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20" name="Button 81">
              <controlPr defaultSize="0" print="0" autoFill="0" autoPict="0" macro="[0]!UpdateRank">
                <anchor moveWithCells="1" sizeWithCells="1">
                  <from>
                    <xdr:col>3</xdr:col>
                    <xdr:colOff>342900</xdr:colOff>
                    <xdr:row>17</xdr:row>
                    <xdr:rowOff>38100</xdr:rowOff>
                  </from>
                  <to>
                    <xdr:col>4</xdr:col>
                    <xdr:colOff>47625</xdr:colOff>
                    <xdr:row>17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1" name="Button 83">
              <controlPr defaultSize="0" print="0" autoFill="0" autoPict="0" macro="[0]!XponsUpdate">
                <anchor moveWithCells="1" sizeWithCells="1">
                  <from>
                    <xdr:col>3</xdr:col>
                    <xdr:colOff>342900</xdr:colOff>
                    <xdr:row>11</xdr:row>
                    <xdr:rowOff>57150</xdr:rowOff>
                  </from>
                  <to>
                    <xdr:col>4</xdr:col>
                    <xdr:colOff>47625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2" name="Button 85">
              <controlPr defaultSize="0" print="0" autoFill="0" autoPict="0" macro="[0]!UpdatepromotionOnline">
                <anchor moveWithCells="1" sizeWithCells="1">
                  <from>
                    <xdr:col>5</xdr:col>
                    <xdr:colOff>400050</xdr:colOff>
                    <xdr:row>18</xdr:row>
                    <xdr:rowOff>361950</xdr:rowOff>
                  </from>
                  <to>
                    <xdr:col>7</xdr:col>
                    <xdr:colOff>85725</xdr:colOff>
                    <xdr:row>19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23" name="Button 86">
              <controlPr defaultSize="0" print="0" autoFill="0" autoPict="0" macro="[0]!OrderDcitemUpdate">
                <anchor moveWithCells="1" sizeWithCells="1">
                  <from>
                    <xdr:col>5</xdr:col>
                    <xdr:colOff>190500</xdr:colOff>
                    <xdr:row>6</xdr:row>
                    <xdr:rowOff>0</xdr:rowOff>
                  </from>
                  <to>
                    <xdr:col>6</xdr:col>
                    <xdr:colOff>542925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4" name="Check Box 87">
              <controlPr defaultSize="0" autoFill="0" autoLine="0" autoPict="0">
                <anchor moveWithCells="1">
                  <from>
                    <xdr:col>10</xdr:col>
                    <xdr:colOff>781050</xdr:colOff>
                    <xdr:row>16</xdr:row>
                    <xdr:rowOff>114300</xdr:rowOff>
                  </from>
                  <to>
                    <xdr:col>11</xdr:col>
                    <xdr:colOff>161925</xdr:colOff>
                    <xdr:row>16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5" name="Check Box 17">
              <controlPr defaultSize="0" autoFill="0" autoLine="0" autoPict="0">
                <anchor moveWithCells="1">
                  <from>
                    <xdr:col>10</xdr:col>
                    <xdr:colOff>781050</xdr:colOff>
                    <xdr:row>9</xdr:row>
                    <xdr:rowOff>76200</xdr:rowOff>
                  </from>
                  <to>
                    <xdr:col>11</xdr:col>
                    <xdr:colOff>161925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26" name="Button 90">
              <controlPr defaultSize="0" print="0" autoFill="0" autoPict="0" macro="[0]!Backupfile">
                <anchor moveWithCells="1" sizeWithCells="1">
                  <from>
                    <xdr:col>17</xdr:col>
                    <xdr:colOff>180975</xdr:colOff>
                    <xdr:row>2</xdr:row>
                    <xdr:rowOff>476250</xdr:rowOff>
                  </from>
                  <to>
                    <xdr:col>17</xdr:col>
                    <xdr:colOff>1200150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G18"/>
  <sheetViews>
    <sheetView zoomScale="70" zoomScaleNormal="70" workbookViewId="0">
      <pane xSplit="9" ySplit="2" topLeftCell="J3" activePane="bottomRight" state="frozen"/>
      <selection pane="topRight" activeCell="D1" sqref="D1"/>
      <selection pane="bottomLeft" activeCell="A3" sqref="A3"/>
      <selection pane="bottomRight" activeCell="I10" sqref="I10"/>
    </sheetView>
  </sheetViews>
  <sheetFormatPr defaultColWidth="7.75" defaultRowHeight="19.899999999999999" customHeight="1" x14ac:dyDescent="0.2"/>
  <cols>
    <col min="1" max="6" width="7.75" style="30"/>
    <col min="7" max="7" width="7.75" style="25"/>
    <col min="8" max="8" width="9.125" style="25" customWidth="1"/>
    <col min="9" max="9" width="25.75" style="25" customWidth="1"/>
    <col min="10" max="10" width="12.25" style="25" bestFit="1" customWidth="1"/>
    <col min="11" max="11" width="24.75" style="25" customWidth="1"/>
    <col min="12" max="12" width="7.75" style="25"/>
    <col min="13" max="13" width="37" style="25" customWidth="1"/>
    <col min="14" max="14" width="16.25" style="25" customWidth="1"/>
    <col min="15" max="17" width="12.5" style="25" customWidth="1"/>
    <col min="18" max="19" width="14.75" style="25" customWidth="1"/>
    <col min="20" max="21" width="8.5" style="25" customWidth="1"/>
    <col min="22" max="24" width="11.25" style="25" customWidth="1"/>
    <col min="25" max="27" width="8.5" style="25" customWidth="1"/>
    <col min="28" max="29" width="16.125" style="25" customWidth="1"/>
    <col min="30" max="30" width="19" style="25" customWidth="1"/>
    <col min="31" max="31" width="12.25" style="25" customWidth="1"/>
    <col min="32" max="33" width="12.75" style="25" customWidth="1"/>
    <col min="34" max="16384" width="7.75" style="30"/>
  </cols>
  <sheetData>
    <row r="1" spans="1:6" ht="19.899999999999999" customHeight="1" x14ac:dyDescent="0.2">
      <c r="A1" s="30" t="b">
        <f ca="1">IF(N1="",TODAY()&gt;M1,TODAY()&gt;N1)</f>
        <v>1</v>
      </c>
      <c r="B1" s="25"/>
      <c r="C1" s="25"/>
      <c r="D1" s="26"/>
      <c r="E1" s="27"/>
      <c r="F1" s="26"/>
    </row>
    <row r="2" spans="1:6" ht="19.899999999999999" customHeight="1" x14ac:dyDescent="0.2">
      <c r="A2" s="31" t="str">
        <f>TEXT($K2,"D mmm bbb")&amp;" - "&amp;TEXT($L2,"D mmm bbb")</f>
        <v>0 ม.ค. 2443 - 0 ม.ค. 2443</v>
      </c>
      <c r="B2" s="28"/>
      <c r="C2" s="28"/>
      <c r="D2" s="28"/>
      <c r="E2" s="28"/>
      <c r="F2" s="28"/>
    </row>
    <row r="3" spans="1:6" ht="19.899999999999999" customHeight="1" x14ac:dyDescent="0.2">
      <c r="A3" s="25"/>
      <c r="B3" s="29"/>
      <c r="C3" s="29"/>
      <c r="D3" s="29"/>
      <c r="E3" s="29"/>
      <c r="F3" s="29"/>
    </row>
    <row r="4" spans="1:6" ht="19.899999999999999" customHeight="1" x14ac:dyDescent="0.2">
      <c r="A4" s="31"/>
      <c r="B4" s="29"/>
      <c r="C4" s="29"/>
      <c r="D4" s="29"/>
      <c r="E4" s="29"/>
      <c r="F4" s="29"/>
    </row>
    <row r="5" spans="1:6" ht="19.899999999999999" customHeight="1" x14ac:dyDescent="0.2">
      <c r="A5" s="25"/>
      <c r="B5" s="29"/>
      <c r="C5" s="29"/>
      <c r="D5" s="29"/>
      <c r="E5" s="29"/>
      <c r="F5" s="29"/>
    </row>
    <row r="6" spans="1:6" ht="19.899999999999999" customHeight="1" x14ac:dyDescent="0.2">
      <c r="A6" s="25"/>
      <c r="B6" s="29"/>
      <c r="C6" s="29"/>
      <c r="D6" s="29"/>
      <c r="E6" s="29"/>
      <c r="F6" s="29"/>
    </row>
    <row r="7" spans="1:6" ht="19.899999999999999" customHeight="1" x14ac:dyDescent="0.2">
      <c r="A7" s="25"/>
      <c r="B7" s="29"/>
      <c r="C7" s="29"/>
      <c r="D7" s="29"/>
      <c r="E7" s="29"/>
      <c r="F7" s="29"/>
    </row>
    <row r="8" spans="1:6" ht="19.899999999999999" customHeight="1" x14ac:dyDescent="0.2">
      <c r="A8" s="25"/>
      <c r="B8" s="29"/>
      <c r="C8" s="29"/>
      <c r="D8" s="29"/>
      <c r="E8" s="29"/>
      <c r="F8" s="29"/>
    </row>
    <row r="9" spans="1:6" ht="19.899999999999999" customHeight="1" x14ac:dyDescent="0.2">
      <c r="A9" s="25"/>
      <c r="B9" s="29"/>
      <c r="C9" s="29"/>
      <c r="D9" s="29"/>
      <c r="E9" s="29"/>
      <c r="F9" s="29"/>
    </row>
    <row r="10" spans="1:6" ht="19.899999999999999" customHeight="1" x14ac:dyDescent="0.2">
      <c r="A10" s="25"/>
      <c r="B10" s="29"/>
      <c r="C10" s="29"/>
      <c r="D10" s="29"/>
      <c r="E10" s="29"/>
      <c r="F10" s="29"/>
    </row>
    <row r="11" spans="1:6" ht="19.899999999999999" customHeight="1" x14ac:dyDescent="0.2">
      <c r="A11" s="25"/>
      <c r="B11" s="29"/>
      <c r="C11" s="29"/>
      <c r="D11" s="29"/>
      <c r="E11" s="29"/>
      <c r="F11" s="29"/>
    </row>
    <row r="12" spans="1:6" ht="19.899999999999999" customHeight="1" x14ac:dyDescent="0.2">
      <c r="A12" s="25"/>
      <c r="B12" s="29"/>
      <c r="C12" s="29"/>
      <c r="D12" s="29"/>
      <c r="E12" s="29"/>
      <c r="F12" s="29"/>
    </row>
    <row r="13" spans="1:6" ht="19.899999999999999" customHeight="1" x14ac:dyDescent="0.2">
      <c r="A13" s="25"/>
      <c r="B13" s="29"/>
      <c r="C13" s="29"/>
      <c r="D13" s="29"/>
      <c r="E13" s="29"/>
      <c r="F13" s="29"/>
    </row>
    <row r="14" spans="1:6" ht="19.899999999999999" customHeight="1" x14ac:dyDescent="0.2">
      <c r="A14" s="25"/>
      <c r="B14" s="29"/>
      <c r="C14" s="29"/>
      <c r="D14" s="29"/>
      <c r="E14" s="29"/>
      <c r="F14" s="29"/>
    </row>
    <row r="15" spans="1:6" ht="19.899999999999999" customHeight="1" x14ac:dyDescent="0.2">
      <c r="A15" s="25"/>
      <c r="B15" s="29"/>
      <c r="C15" s="29"/>
      <c r="D15" s="29"/>
      <c r="E15" s="29"/>
      <c r="F15" s="29"/>
    </row>
    <row r="16" spans="1:6" ht="19.899999999999999" customHeight="1" x14ac:dyDescent="0.2">
      <c r="A16" s="25"/>
      <c r="B16" s="29"/>
      <c r="C16" s="29"/>
      <c r="D16" s="29"/>
      <c r="E16" s="29"/>
      <c r="F16" s="29"/>
    </row>
    <row r="17" spans="1:6" ht="19.899999999999999" customHeight="1" x14ac:dyDescent="0.2">
      <c r="A17" s="25"/>
      <c r="B17" s="29"/>
      <c r="C17" s="29"/>
      <c r="D17" s="29"/>
      <c r="E17" s="29"/>
      <c r="F17" s="29"/>
    </row>
    <row r="18" spans="1:6" ht="19.899999999999999" customHeight="1" x14ac:dyDescent="0.2">
      <c r="A18" s="25"/>
      <c r="B18" s="29"/>
      <c r="C18" s="29"/>
      <c r="D18" s="29"/>
      <c r="E18" s="29"/>
      <c r="F18" s="29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0A211F583175459CD2B668B72A9CC8" ma:contentTypeVersion="17" ma:contentTypeDescription="Create a new document." ma:contentTypeScope="" ma:versionID="339feb1902f5f396e3e7af72ae503c71">
  <xsd:schema xmlns:xsd="http://www.w3.org/2001/XMLSchema" xmlns:xs="http://www.w3.org/2001/XMLSchema" xmlns:p="http://schemas.microsoft.com/office/2006/metadata/properties" xmlns:ns2="1228e06c-ed70-44b7-a877-6dd82d94d1cf" xmlns:ns3="83c1f031-c2a7-403f-8709-924e6bb79ce9" targetNamespace="http://schemas.microsoft.com/office/2006/metadata/properties" ma:root="true" ma:fieldsID="961cb7e6f67014235742f8f68e01eca4" ns2:_="" ns3:_="">
    <xsd:import namespace="1228e06c-ed70-44b7-a877-6dd82d94d1cf"/>
    <xsd:import namespace="83c1f031-c2a7-403f-8709-924e6bb79ce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_Flow_SignoffStatu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28e06c-ed70-44b7-a877-6dd82d94d1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17330478-6e4f-4e24-84b1-b2b7e0a418b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c1f031-c2a7-403f-8709-924e6bb79ce9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73446583-e40a-402e-8b7b-1b959ab2bbeb}" ma:internalName="TaxCatchAll" ma:showField="CatchAllData" ma:web="83c1f031-c2a7-403f-8709-924e6bb79ce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228e06c-ed70-44b7-a877-6dd82d94d1cf">
      <Terms xmlns="http://schemas.microsoft.com/office/infopath/2007/PartnerControls"/>
    </lcf76f155ced4ddcb4097134ff3c332f>
    <TaxCatchAll xmlns="83c1f031-c2a7-403f-8709-924e6bb79ce9" xsi:nil="true"/>
    <_Flow_SignoffStatus xmlns="1228e06c-ed70-44b7-a877-6dd82d94d1cf" xsi:nil="true"/>
  </documentManagement>
</p:properties>
</file>

<file path=customXml/itemProps1.xml><?xml version="1.0" encoding="utf-8"?>
<ds:datastoreItem xmlns:ds="http://schemas.openxmlformats.org/officeDocument/2006/customXml" ds:itemID="{4603ABF4-F9CE-4730-B5FA-B972F6B519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228e06c-ed70-44b7-a877-6dd82d94d1cf"/>
    <ds:schemaRef ds:uri="83c1f031-c2a7-403f-8709-924e6bb79ce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CD09F3-D6AF-42D7-B03D-53F9C963BC0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76C843-9367-4BB5-BD25-165D473088D7}">
  <ds:schemaRefs>
    <ds:schemaRef ds:uri="http://purl.org/dc/elements/1.1/"/>
    <ds:schemaRef ds:uri="http://schemas.microsoft.com/office/2006/documentManagement/types"/>
    <ds:schemaRef ds:uri="http://purl.org/dc/terms/"/>
    <ds:schemaRef ds:uri="http://www.w3.org/XML/1998/namespace"/>
    <ds:schemaRef ds:uri="83c1f031-c2a7-403f-8709-924e6bb79ce9"/>
    <ds:schemaRef ds:uri="1228e06c-ed70-44b7-a877-6dd82d94d1cf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HomePage</vt:lpstr>
      <vt:lpstr>Form_ProOnline</vt:lpstr>
      <vt:lpstr>DataPageAI3</vt:lpstr>
      <vt:lpstr>Maximum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Sophon Hanboontham</dc:creator>
  <cp:lastModifiedBy>Sophon Hanboontham</cp:lastModifiedBy>
  <dcterms:created xsi:type="dcterms:W3CDTF">2022-08-05T08:34:22Z</dcterms:created>
  <dcterms:modified xsi:type="dcterms:W3CDTF">2023-02-14T01:44:28Z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0x010100510A211F583175459CD2B668B72A9CC8</vt:lpwstr>
  </property>
</Properties>
</file>